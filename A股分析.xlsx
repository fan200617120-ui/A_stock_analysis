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000每日收评\"/>
    </mc:Choice>
  </mc:AlternateContent>
  <xr:revisionPtr revIDLastSave="0" documentId="13_ncr:1_{FF0D077E-031B-4FEA-BD69-15BB50EE64AC}" xr6:coauthVersionLast="47" xr6:coauthVersionMax="47" xr10:uidLastSave="{00000000-0000-0000-0000-000000000000}"/>
  <bookViews>
    <workbookView xWindow="-34755" yWindow="660" windowWidth="28800" windowHeight="20940" xr2:uid="{00000000-000D-0000-FFFF-FFFF00000000}"/>
  </bookViews>
  <sheets>
    <sheet name=" 2025年10-12月" sheetId="29" r:id="rId1"/>
  </sheets>
  <calcPr calcId="181029"/>
</workbook>
</file>

<file path=xl/calcChain.xml><?xml version="1.0" encoding="utf-8"?>
<calcChain xmlns="http://schemas.openxmlformats.org/spreadsheetml/2006/main">
  <c r="AO22" i="29" l="1"/>
  <c r="AO23" i="29"/>
  <c r="AO24" i="29"/>
  <c r="AO25" i="29"/>
  <c r="AO26" i="29"/>
  <c r="AO27" i="29"/>
  <c r="AO28" i="29"/>
  <c r="AO29" i="29"/>
  <c r="AO30" i="29"/>
  <c r="AO31" i="29"/>
  <c r="AO32" i="29"/>
  <c r="AO33" i="29"/>
  <c r="AO34" i="29"/>
  <c r="AO35" i="29"/>
  <c r="AO36" i="29"/>
  <c r="AO37" i="29"/>
  <c r="AO38" i="29"/>
  <c r="AO39" i="29"/>
  <c r="AO40" i="29"/>
  <c r="AO41" i="29"/>
  <c r="AO42" i="29"/>
  <c r="AO43" i="29"/>
  <c r="AO44" i="29"/>
  <c r="AO45" i="29"/>
  <c r="AO46" i="29"/>
  <c r="AO47" i="29"/>
  <c r="AO48" i="29"/>
  <c r="AO49" i="29"/>
  <c r="AO50" i="29"/>
  <c r="AO51" i="29"/>
  <c r="AO52" i="29"/>
  <c r="AO53" i="29"/>
  <c r="AO54" i="29"/>
  <c r="AO55" i="29"/>
  <c r="AO56" i="29"/>
  <c r="AO57" i="29"/>
  <c r="AO58" i="29"/>
  <c r="AO59" i="29"/>
  <c r="AO60" i="29"/>
  <c r="AO61" i="29"/>
  <c r="AO62" i="29"/>
  <c r="AO63" i="29"/>
  <c r="AO64" i="29"/>
  <c r="AO65" i="29"/>
  <c r="AO66" i="29"/>
  <c r="AO67" i="29"/>
  <c r="AO68" i="29"/>
  <c r="AO69" i="29"/>
  <c r="AO70" i="29"/>
  <c r="AO71" i="29"/>
  <c r="AO72" i="29"/>
  <c r="AO73" i="29"/>
  <c r="AO74" i="29"/>
  <c r="AO75" i="29"/>
  <c r="AO3" i="29"/>
  <c r="AO4" i="29"/>
  <c r="AO5" i="29"/>
  <c r="AO6" i="29"/>
  <c r="AO7" i="29"/>
  <c r="AO8" i="29"/>
  <c r="AO9" i="29"/>
  <c r="AO10" i="29"/>
  <c r="AO11" i="29"/>
  <c r="AO12" i="29"/>
  <c r="AO13" i="29"/>
  <c r="AO14" i="29"/>
  <c r="AO15" i="29"/>
  <c r="AO16" i="29"/>
  <c r="AO18" i="29"/>
  <c r="AO19" i="29"/>
  <c r="AO20" i="29"/>
  <c r="AO21" i="29"/>
  <c r="AO2" i="29"/>
  <c r="Q8" i="29"/>
  <c r="M8" i="29"/>
  <c r="I8" i="29"/>
  <c r="D8" i="29"/>
  <c r="Q7" i="29"/>
  <c r="M7" i="29"/>
  <c r="I7" i="29"/>
  <c r="D7" i="29"/>
  <c r="Q6" i="29"/>
  <c r="M6" i="29"/>
  <c r="I6" i="29"/>
  <c r="D6" i="29"/>
  <c r="Q5" i="29"/>
  <c r="M5" i="29"/>
  <c r="I5" i="29"/>
  <c r="D5" i="29"/>
  <c r="Q4" i="29"/>
  <c r="M4" i="29"/>
  <c r="I4" i="29"/>
  <c r="D4" i="29"/>
  <c r="Q3" i="29"/>
  <c r="M3" i="29"/>
  <c r="I3" i="29"/>
  <c r="D3" i="29"/>
  <c r="Q2" i="29"/>
  <c r="M2" i="29"/>
  <c r="I2" i="29"/>
  <c r="D2" i="29"/>
  <c r="D9" i="29"/>
  <c r="I9" i="29"/>
  <c r="M9" i="29"/>
  <c r="Q9" i="29"/>
  <c r="D10" i="29"/>
  <c r="I10" i="29"/>
  <c r="M10" i="29"/>
  <c r="Q10" i="29"/>
  <c r="Q74" i="29"/>
  <c r="M74" i="29"/>
  <c r="I74" i="29"/>
  <c r="F74" i="29"/>
  <c r="D74" i="29"/>
  <c r="Q73" i="29"/>
  <c r="M73" i="29"/>
  <c r="I73" i="29"/>
  <c r="F73" i="29"/>
  <c r="D73" i="29"/>
  <c r="Q72" i="29"/>
  <c r="M72" i="29"/>
  <c r="I72" i="29"/>
  <c r="F72" i="29"/>
  <c r="D72" i="29"/>
  <c r="Q71" i="29"/>
  <c r="M71" i="29"/>
  <c r="I71" i="29"/>
  <c r="F71" i="29"/>
  <c r="D71" i="29"/>
  <c r="Q70" i="29"/>
  <c r="M70" i="29"/>
  <c r="I70" i="29"/>
  <c r="F70" i="29"/>
  <c r="D70" i="29"/>
  <c r="Q69" i="29"/>
  <c r="M69" i="29"/>
  <c r="I69" i="29"/>
  <c r="F69" i="29"/>
  <c r="D69" i="29"/>
  <c r="Q68" i="29"/>
  <c r="M68" i="29"/>
  <c r="I68" i="29"/>
  <c r="F68" i="29"/>
  <c r="D68" i="29"/>
  <c r="Q67" i="29"/>
  <c r="M67" i="29"/>
  <c r="I67" i="29"/>
  <c r="F67" i="29"/>
  <c r="D67" i="29"/>
  <c r="Q66" i="29"/>
  <c r="M66" i="29"/>
  <c r="I66" i="29"/>
  <c r="F66" i="29"/>
  <c r="D66" i="29"/>
  <c r="Q65" i="29"/>
  <c r="M65" i="29"/>
  <c r="I65" i="29"/>
  <c r="F65" i="29"/>
  <c r="D65" i="29"/>
  <c r="Q64" i="29"/>
  <c r="M64" i="29"/>
  <c r="I64" i="29"/>
  <c r="F64" i="29"/>
  <c r="D64" i="29"/>
  <c r="Q63" i="29"/>
  <c r="M63" i="29"/>
  <c r="I63" i="29"/>
  <c r="F63" i="29"/>
  <c r="D63" i="29"/>
  <c r="Q62" i="29"/>
  <c r="M62" i="29"/>
  <c r="I62" i="29"/>
  <c r="F62" i="29"/>
  <c r="D62" i="29"/>
  <c r="Q61" i="29"/>
  <c r="M61" i="29"/>
  <c r="I61" i="29"/>
  <c r="F61" i="29"/>
  <c r="D61" i="29"/>
  <c r="Q60" i="29"/>
  <c r="M60" i="29"/>
  <c r="I60" i="29"/>
  <c r="F60" i="29"/>
  <c r="D60" i="29"/>
  <c r="Q59" i="29"/>
  <c r="M59" i="29"/>
  <c r="I59" i="29"/>
  <c r="F59" i="29"/>
  <c r="D59" i="29"/>
  <c r="Q58" i="29"/>
  <c r="M58" i="29"/>
  <c r="I58" i="29"/>
  <c r="F58" i="29"/>
  <c r="D58" i="29"/>
  <c r="Q57" i="29"/>
  <c r="M57" i="29"/>
  <c r="I57" i="29"/>
  <c r="F57" i="29"/>
  <c r="D57" i="29"/>
  <c r="Q56" i="29"/>
  <c r="M56" i="29"/>
  <c r="I56" i="29"/>
  <c r="F56" i="29"/>
  <c r="D56" i="29"/>
  <c r="Q55" i="29"/>
  <c r="M55" i="29"/>
  <c r="I55" i="29"/>
  <c r="F55" i="29"/>
  <c r="D55" i="29"/>
  <c r="Q54" i="29"/>
  <c r="M54" i="29"/>
  <c r="I54" i="29"/>
  <c r="F54" i="29"/>
  <c r="D54" i="29"/>
  <c r="Q53" i="29"/>
  <c r="M53" i="29"/>
  <c r="I53" i="29"/>
  <c r="F53" i="29"/>
  <c r="D53" i="29"/>
  <c r="Q52" i="29"/>
  <c r="M52" i="29"/>
  <c r="I52" i="29"/>
  <c r="F52" i="29"/>
  <c r="D52" i="29"/>
  <c r="Q51" i="29"/>
  <c r="M51" i="29"/>
  <c r="I51" i="29"/>
  <c r="F51" i="29"/>
  <c r="D51" i="29"/>
  <c r="Q50" i="29"/>
  <c r="M50" i="29"/>
  <c r="I50" i="29"/>
  <c r="F50" i="29"/>
  <c r="D50" i="29"/>
  <c r="Q49" i="29"/>
  <c r="M49" i="29"/>
  <c r="I49" i="29"/>
  <c r="F49" i="29"/>
  <c r="D49" i="29"/>
  <c r="Q48" i="29"/>
  <c r="M48" i="29"/>
  <c r="I48" i="29"/>
  <c r="F48" i="29"/>
  <c r="D48" i="29"/>
  <c r="Q47" i="29"/>
  <c r="M47" i="29"/>
  <c r="I47" i="29"/>
  <c r="F47" i="29"/>
  <c r="D47" i="29"/>
  <c r="Q46" i="29"/>
  <c r="M46" i="29"/>
  <c r="I46" i="29"/>
  <c r="F46" i="29"/>
  <c r="D46" i="29"/>
  <c r="Q45" i="29"/>
  <c r="M45" i="29"/>
  <c r="I45" i="29"/>
  <c r="F45" i="29"/>
  <c r="D45" i="29"/>
  <c r="Q44" i="29"/>
  <c r="M44" i="29"/>
  <c r="I44" i="29"/>
  <c r="F44" i="29"/>
  <c r="D44" i="29"/>
  <c r="Q43" i="29"/>
  <c r="M43" i="29"/>
  <c r="I43" i="29"/>
  <c r="F43" i="29"/>
  <c r="D43" i="29"/>
  <c r="Q42" i="29"/>
  <c r="M42" i="29"/>
  <c r="I42" i="29"/>
  <c r="F42" i="29"/>
  <c r="D42" i="29"/>
  <c r="Q41" i="29"/>
  <c r="M41" i="29"/>
  <c r="I41" i="29"/>
  <c r="F41" i="29"/>
  <c r="D41" i="29"/>
  <c r="Q40" i="29"/>
  <c r="M40" i="29"/>
  <c r="I40" i="29"/>
  <c r="F40" i="29"/>
  <c r="D40" i="29"/>
  <c r="Q39" i="29"/>
  <c r="M39" i="29"/>
  <c r="I39" i="29"/>
  <c r="F39" i="29"/>
  <c r="D39" i="29"/>
  <c r="Q38" i="29"/>
  <c r="M38" i="29"/>
  <c r="I38" i="29"/>
  <c r="F38" i="29"/>
  <c r="D38" i="29"/>
  <c r="Q37" i="29"/>
  <c r="M37" i="29"/>
  <c r="I37" i="29"/>
  <c r="F37" i="29"/>
  <c r="D37" i="29"/>
  <c r="Q36" i="29"/>
  <c r="M36" i="29"/>
  <c r="I36" i="29"/>
  <c r="F36" i="29"/>
  <c r="D36" i="29"/>
  <c r="Q35" i="29"/>
  <c r="M35" i="29"/>
  <c r="I35" i="29"/>
  <c r="F35" i="29"/>
  <c r="D35" i="29"/>
  <c r="Q34" i="29"/>
  <c r="M34" i="29"/>
  <c r="I34" i="29"/>
  <c r="F34" i="29"/>
  <c r="D34" i="29"/>
  <c r="Q33" i="29"/>
  <c r="M33" i="29"/>
  <c r="I33" i="29"/>
  <c r="F33" i="29"/>
  <c r="D33" i="29"/>
  <c r="Q32" i="29"/>
  <c r="M32" i="29"/>
  <c r="I32" i="29"/>
  <c r="F32" i="29"/>
  <c r="D32" i="29"/>
  <c r="Q31" i="29"/>
  <c r="M31" i="29"/>
  <c r="I31" i="29"/>
  <c r="F31" i="29"/>
  <c r="D31" i="29"/>
  <c r="Q30" i="29"/>
  <c r="M30" i="29"/>
  <c r="I30" i="29"/>
  <c r="F30" i="29"/>
  <c r="D30" i="29"/>
  <c r="Q29" i="29"/>
  <c r="M29" i="29"/>
  <c r="I29" i="29"/>
  <c r="F29" i="29"/>
  <c r="D29" i="29"/>
  <c r="Q28" i="29"/>
  <c r="M28" i="29"/>
  <c r="I28" i="29"/>
  <c r="F28" i="29"/>
  <c r="D28" i="29"/>
  <c r="Q27" i="29"/>
  <c r="M27" i="29"/>
  <c r="I27" i="29"/>
  <c r="F27" i="29"/>
  <c r="D27" i="29"/>
  <c r="Q26" i="29"/>
  <c r="M26" i="29"/>
  <c r="I26" i="29"/>
  <c r="F26" i="29"/>
  <c r="D26" i="29"/>
  <c r="Q25" i="29"/>
  <c r="M25" i="29"/>
  <c r="I25" i="29"/>
  <c r="F25" i="29"/>
  <c r="D25" i="29"/>
  <c r="Q24" i="29"/>
  <c r="M24" i="29"/>
  <c r="I24" i="29"/>
  <c r="F24" i="29"/>
  <c r="D24" i="29"/>
  <c r="Q23" i="29"/>
  <c r="M23" i="29"/>
  <c r="I23" i="29"/>
  <c r="F23" i="29"/>
  <c r="D23" i="29"/>
  <c r="Q22" i="29"/>
  <c r="M22" i="29"/>
  <c r="I22" i="29"/>
  <c r="F22" i="29"/>
  <c r="D22" i="29"/>
  <c r="Q21" i="29"/>
  <c r="M21" i="29"/>
  <c r="I21" i="29"/>
  <c r="F21" i="29"/>
  <c r="D21" i="29"/>
  <c r="Q20" i="29"/>
  <c r="M20" i="29"/>
  <c r="I20" i="29"/>
  <c r="F20" i="29"/>
  <c r="D20" i="29"/>
  <c r="Q19" i="29"/>
  <c r="M19" i="29"/>
  <c r="I19" i="29"/>
  <c r="F19" i="29"/>
  <c r="D19" i="29"/>
  <c r="Q18" i="29"/>
  <c r="M18" i="29"/>
  <c r="I18" i="29"/>
  <c r="F18" i="29"/>
  <c r="D18" i="29"/>
  <c r="Q17" i="29"/>
  <c r="M17" i="29"/>
  <c r="I17" i="29"/>
  <c r="F17" i="29"/>
  <c r="D17" i="29"/>
  <c r="Q16" i="29"/>
  <c r="M16" i="29"/>
  <c r="I16" i="29"/>
  <c r="F16" i="29"/>
  <c r="D16" i="29"/>
  <c r="Q15" i="29"/>
  <c r="M15" i="29"/>
  <c r="I15" i="29"/>
  <c r="D15" i="29"/>
  <c r="Q14" i="29"/>
  <c r="M14" i="29"/>
  <c r="I14" i="29"/>
  <c r="D14" i="29"/>
  <c r="Q13" i="29"/>
  <c r="M13" i="29"/>
  <c r="I13" i="29"/>
  <c r="D13" i="29"/>
  <c r="Q12" i="29"/>
  <c r="M12" i="29"/>
  <c r="I12" i="29"/>
  <c r="D12" i="29"/>
  <c r="Q11" i="29"/>
  <c r="M11" i="29"/>
  <c r="I11" i="29"/>
  <c r="D11" i="29"/>
</calcChain>
</file>

<file path=xl/sharedStrings.xml><?xml version="1.0" encoding="utf-8"?>
<sst xmlns="http://schemas.openxmlformats.org/spreadsheetml/2006/main" count="118" uniqueCount="118">
  <si>
    <t>日期</t>
  </si>
  <si>
    <t>下跌</t>
  </si>
  <si>
    <t>行业涨幅榜</t>
  </si>
  <si>
    <t>概念涨幅榜</t>
  </si>
  <si>
    <t>开盘金额</t>
  </si>
  <si>
    <t>沪指开盘</t>
  </si>
  <si>
    <t>沪额下午</t>
  </si>
  <si>
    <t>深综开盘</t>
  </si>
  <si>
    <t>创开盘金额</t>
  </si>
  <si>
    <t>行业涨停榜</t>
    <phoneticPr fontId="5" type="noConversion"/>
  </si>
  <si>
    <t>平盘/停牌</t>
    <phoneticPr fontId="5" type="noConversion"/>
  </si>
  <si>
    <t>上午涨停</t>
    <phoneticPr fontId="5" type="noConversion"/>
  </si>
  <si>
    <t>有色\矿物制品\电力\IT设备\半导体\煤炭\钢铁\运输设备\电器仪表\石油</t>
    <phoneticPr fontId="5" type="noConversion"/>
  </si>
  <si>
    <t>可控核聚变\超导概念\钴金属\稀缺资源\黄金概念\稀土永磁\镍金属\锂矿\钛金属\盐湖提锂</t>
    <phoneticPr fontId="5" type="noConversion"/>
  </si>
  <si>
    <t>有色20+1\工业机械8+5\电气设备8+2建筑6元器件6+2\半导体6+7环境保护5通用机械4+1化工4+1软件服务2+3汽车类3+3通信设备2+2钢铁2</t>
    <phoneticPr fontId="5" type="noConversion"/>
  </si>
  <si>
    <r>
      <t>一带一路23+1\</t>
    </r>
    <r>
      <rPr>
        <sz val="11"/>
        <color theme="1"/>
        <rFont val="等线"/>
        <family val="3"/>
        <charset val="134"/>
        <scheme val="minor"/>
      </rPr>
      <t>新能源车</t>
    </r>
    <r>
      <rPr>
        <sz val="11"/>
        <color theme="1"/>
        <rFont val="等线"/>
        <family val="3"/>
        <charset val="134"/>
        <scheme val="minor"/>
      </rPr>
      <t>21+9\</t>
    </r>
    <r>
      <rPr>
        <sz val="11"/>
        <color theme="1"/>
        <rFont val="等线"/>
        <family val="3"/>
        <charset val="134"/>
        <scheme val="minor"/>
      </rPr>
      <t>芯片</t>
    </r>
    <r>
      <rPr>
        <sz val="11"/>
        <color theme="1"/>
        <rFont val="等线"/>
        <family val="3"/>
        <charset val="134"/>
        <scheme val="minor"/>
      </rPr>
      <t>19+14\</t>
    </r>
    <r>
      <rPr>
        <sz val="11"/>
        <color theme="1"/>
        <rFont val="等线"/>
        <family val="3"/>
        <charset val="134"/>
        <scheme val="minor"/>
      </rPr>
      <t>储能</t>
    </r>
    <r>
      <rPr>
        <sz val="11"/>
        <color theme="1"/>
        <rFont val="等线"/>
        <family val="3"/>
        <charset val="134"/>
        <scheme val="minor"/>
      </rPr>
      <t>19+5\</t>
    </r>
    <r>
      <rPr>
        <sz val="11"/>
        <color theme="1"/>
        <rFont val="等线"/>
        <family val="3"/>
        <charset val="134"/>
        <scheme val="minor"/>
      </rPr>
      <t>可控核聚变</t>
    </r>
    <r>
      <rPr>
        <sz val="11"/>
        <color theme="1"/>
        <rFont val="等线"/>
        <family val="3"/>
        <charset val="134"/>
        <scheme val="minor"/>
      </rPr>
      <t>19+3\黄金概念18+1\</t>
    </r>
    <r>
      <rPr>
        <sz val="11"/>
        <color theme="1"/>
        <rFont val="等线"/>
        <family val="3"/>
        <charset val="134"/>
        <scheme val="minor"/>
      </rPr>
      <t>核电核能</t>
    </r>
    <r>
      <rPr>
        <sz val="11"/>
        <color theme="1"/>
        <rFont val="等线"/>
        <family val="3"/>
        <charset val="134"/>
        <scheme val="minor"/>
      </rPr>
      <t>17+3\锂</t>
    </r>
    <r>
      <rPr>
        <sz val="11"/>
        <color theme="1"/>
        <rFont val="等线"/>
        <family val="3"/>
        <charset val="134"/>
        <scheme val="minor"/>
      </rPr>
      <t>电池概念</t>
    </r>
    <r>
      <rPr>
        <sz val="11"/>
        <color theme="1"/>
        <rFont val="等线"/>
        <family val="3"/>
        <charset val="134"/>
        <scheme val="minor"/>
      </rPr>
      <t>15+4\</t>
    </r>
    <r>
      <rPr>
        <sz val="11"/>
        <color theme="1"/>
        <rFont val="等线"/>
        <family val="3"/>
        <charset val="134"/>
        <scheme val="minor"/>
      </rPr>
      <t>国防军工、光伏</t>
    </r>
    <r>
      <rPr>
        <sz val="11"/>
        <color theme="1"/>
        <rFont val="等线"/>
        <family val="3"/>
        <charset val="134"/>
        <scheme val="minor"/>
      </rPr>
      <t>14+2\ST板块11+2\机器人概念10+8\风电10+2\新材料、水利建设10+1\稀缺资源10\DeepSeek概念9+6\5G概念9+4\高端装备9+3\</t>
    </r>
    <r>
      <rPr>
        <sz val="11"/>
        <color theme="1"/>
        <rFont val="等线"/>
        <family val="3"/>
        <charset val="134"/>
        <scheme val="minor"/>
      </rPr>
      <t>创投概念</t>
    </r>
    <r>
      <rPr>
        <sz val="11"/>
        <color theme="1"/>
        <rFont val="等线"/>
        <family val="3"/>
        <charset val="134"/>
        <scheme val="minor"/>
      </rPr>
      <t>、存储芯片9+2\</t>
    </r>
    <r>
      <rPr>
        <sz val="11"/>
        <color theme="1"/>
        <rFont val="等线"/>
        <family val="3"/>
        <charset val="134"/>
        <scheme val="minor"/>
      </rPr>
      <t>氢能源</t>
    </r>
    <r>
      <rPr>
        <sz val="11"/>
        <color theme="1"/>
        <rFont val="等线"/>
        <family val="3"/>
        <charset val="134"/>
        <scheme val="minor"/>
      </rPr>
      <t>9+1</t>
    </r>
    <r>
      <rPr>
        <sz val="11"/>
        <color theme="1"/>
        <rFont val="等线"/>
        <family val="3"/>
        <charset val="134"/>
        <scheme val="minor"/>
      </rPr>
      <t/>
    </r>
    <phoneticPr fontId="5" type="noConversion"/>
  </si>
  <si>
    <t>供气供热\水务\日用化工\煤炭\家居用品\食品饮料\交通设施\建材\化纤\公共交通</t>
    <phoneticPr fontId="5" type="noConversion"/>
  </si>
  <si>
    <t>草甘膦\风沙治理\鸡肉\猪肉\租购同权\虫害防治\赛马概念\土地流转\天然气\装配式建筑</t>
    <phoneticPr fontId="5" type="noConversion"/>
  </si>
  <si>
    <t>工业机械5+4\纺织服饰5\电气设备4\汽车类3+1\建筑、房地产、供气供热、化工、有色3\环境保护2+1\食品饮料、家居用品、建材、钢铁、煤炭2</t>
    <phoneticPr fontId="5" type="noConversion"/>
  </si>
  <si>
    <t>上午涨停连接板</t>
    <phoneticPr fontId="5" type="noConversion"/>
  </si>
  <si>
    <t>上午高度板</t>
    <phoneticPr fontId="5" type="noConversion"/>
  </si>
  <si>
    <t>主板涨停数</t>
    <phoneticPr fontId="5" type="noConversion"/>
  </si>
  <si>
    <t>创业板涨停数</t>
    <phoneticPr fontId="5" type="noConversion"/>
  </si>
  <si>
    <t>北证涨停数</t>
    <phoneticPr fontId="5" type="noConversion"/>
  </si>
  <si>
    <t>涨幅大于10%</t>
    <phoneticPr fontId="5" type="noConversion"/>
  </si>
  <si>
    <t>主板跌停数</t>
    <phoneticPr fontId="5" type="noConversion"/>
  </si>
  <si>
    <t>创业板跌停数</t>
    <phoneticPr fontId="5" type="noConversion"/>
  </si>
  <si>
    <t>北证跌停数</t>
    <phoneticPr fontId="5" type="noConversion"/>
  </si>
  <si>
    <r>
      <t>创投概念10\</t>
    </r>
    <r>
      <rPr>
        <sz val="11"/>
        <color theme="1"/>
        <rFont val="等线"/>
        <family val="3"/>
        <charset val="134"/>
        <scheme val="minor"/>
      </rPr>
      <t>ST板块</t>
    </r>
    <r>
      <rPr>
        <sz val="11"/>
        <color theme="1"/>
        <rFont val="等线"/>
        <family val="3"/>
        <charset val="134"/>
        <scheme val="minor"/>
      </rPr>
      <t>13+1\</t>
    </r>
    <r>
      <rPr>
        <sz val="11"/>
        <color theme="1"/>
        <rFont val="等线"/>
        <family val="3"/>
        <charset val="134"/>
        <scheme val="minor"/>
      </rPr>
      <t>一带一路</t>
    </r>
    <r>
      <rPr>
        <sz val="11"/>
        <color theme="1"/>
        <rFont val="等线"/>
        <family val="3"/>
        <charset val="134"/>
        <scheme val="minor"/>
      </rPr>
      <t>11+1\口罩防护10+1</t>
    </r>
    <r>
      <rPr>
        <sz val="11"/>
        <color theme="1"/>
        <rFont val="等线"/>
        <family val="3"/>
        <charset val="134"/>
        <scheme val="minor"/>
      </rPr>
      <t>新能源车</t>
    </r>
    <r>
      <rPr>
        <sz val="11"/>
        <color theme="1"/>
        <rFont val="等线"/>
        <family val="3"/>
        <charset val="134"/>
        <scheme val="minor"/>
      </rPr>
      <t>9+2\节能环保9+1\</t>
    </r>
    <r>
      <rPr>
        <sz val="11"/>
        <color theme="1"/>
        <rFont val="等线"/>
        <family val="3"/>
        <charset val="134"/>
        <scheme val="minor"/>
      </rPr>
      <t>光伏</t>
    </r>
    <r>
      <rPr>
        <sz val="11"/>
        <color theme="1"/>
        <rFont val="等线"/>
        <family val="3"/>
        <charset val="134"/>
        <scheme val="minor"/>
      </rPr>
      <t>9\氢能源8\储能7+2\物业管理概念7\机器人概念6+4\绿色电力、风电6\人工智能、核电核能、水利建设5+1\DeepSeek概念5</t>
    </r>
    <phoneticPr fontId="5" type="noConversion"/>
  </si>
  <si>
    <t>全天封板率</t>
    <phoneticPr fontId="5" type="noConversion"/>
  </si>
  <si>
    <t>北向成交额</t>
    <phoneticPr fontId="5" type="noConversion"/>
  </si>
  <si>
    <t>北向净值</t>
    <phoneticPr fontId="5" type="noConversion"/>
  </si>
  <si>
    <t>概念涨停榜</t>
    <phoneticPr fontId="5" type="noConversion"/>
  </si>
  <si>
    <t>半导体\元器件\通信设备\IT设备\软件服务\船舶\工业机械\证券\有色\通用机械</t>
    <phoneticPr fontId="5" type="noConversion"/>
  </si>
  <si>
    <t>AI手机PC\无线耳机\苹果概念\新型烟草\存储芯片\AI眼镜\EDA概念\MCU芯\消费电子概念\汽车芯片</t>
    <phoneticPr fontId="5" type="noConversion"/>
  </si>
  <si>
    <t>元器件10+6\汽车类8+2\工业机械5+6\电气设备5+1\化工4\软件服务3+4\通信设备3+1\半导体2+5\家居用品、通用机械2+2\环境保护2+1</t>
    <phoneticPr fontId="5" type="noConversion"/>
  </si>
  <si>
    <r>
      <t>新能源车24+9\机器人概念18+10\人工智能15+16\芯片15+14\储能15+5\消费电子概念13+11\数据中心13+7\物联网13+4\充电桩13+1\智能家居12+5\电池概念11+3东数西算、新型工业化10+6\锂汽车电子10+5\5G概念10+4\虚拟现实、光伏10+3\智能穿戴9+3苹果概念9+2智慧城市9+1</t>
    </r>
    <r>
      <rPr>
        <sz val="11"/>
        <color theme="1"/>
        <rFont val="等线"/>
        <family val="3"/>
        <charset val="134"/>
        <scheme val="minor"/>
      </rPr>
      <t/>
    </r>
  </si>
  <si>
    <t>银行\供气供热\煤炭\水务\交通设施\电力\电气设备\通信设备\石油\半导体</t>
    <phoneticPr fontId="5" type="noConversion"/>
  </si>
  <si>
    <t>EDA概,念\含H股\通达信88\工业气体\光刻机\超导概念</t>
    <phoneticPr fontId="5" type="noConversion"/>
  </si>
  <si>
    <t>汽车类6+2\电气设备5+4\半导体4+4\元器件、纺织服饰4\房地产、建筑、环境保护3\工业机械2+1\通信设备、供气供热、医药2</t>
    <phoneticPr fontId="5" type="noConversion"/>
  </si>
  <si>
    <t>新能源车13+3\芯片12+6\机器人概念12+3\风电9+2\数据中心8+2\储能7+2\人工智能、光伏8\5G概念、汽车电子7+1\粤港澳6+1\智能家居、氢能源、东数西算、物联网6\充电桩5+2\PPP概念、绿色电力5+1\华为汽车、一带一路5</t>
    <phoneticPr fontId="5" type="noConversion"/>
  </si>
  <si>
    <t>半导体\互联网\电气设备\电器仪表\软件服务\IT设备\矿物制品\房地产\工业机械\化工</t>
    <phoneticPr fontId="5" type="noConversion"/>
  </si>
  <si>
    <t>BC电池\存储芯片\TOPCon电池\光刻机\先进封装\第三代半导体\工业软件\分散染料\工业气体\MCU芯片</t>
    <phoneticPr fontId="5" type="noConversion"/>
  </si>
  <si>
    <t>化工11+1\工业机械7+6\房地产7\半导体6+12\电气设备6+1\医药5\环境保护4+2\元器件3+1\纺织服饰3家用电器3\传媒娱乐、汽车类、有色、电力2</t>
    <phoneticPr fontId="5" type="noConversion"/>
  </si>
  <si>
    <t>芯片16+18\机器人概.念16+3\新能源车15+3\锂电池概念12+2\光伏11+4\ST板块10+4\储能10+1\光刻机8+4\节能环保、5G概念8+2\创投概念、数据中心8+1\新材料7+1\充电桩7\存储芯片6+6\第三代半导体、消费电子概念6+5\汽车电子、东数西算6+2\工业互联、风电6+1\一带一路、碳中和6</t>
    <phoneticPr fontId="5" type="noConversion"/>
  </si>
  <si>
    <t>IT设备\互联网\有色\电气设备\通信设备\广告包装\软件服务\传媒娱乐\医疗保健\半导体</t>
    <phoneticPr fontId="5" type="noConversion"/>
  </si>
  <si>
    <t>云游戏\可控核聚变\铜缆高速连接\短剧游戏\通达信88\英伟达概念\多模态AI\超导概念\钴金属\ST板块\智谱AI</t>
  </si>
  <si>
    <t>电气设备7\工业机械4+1\元器件3+4\建筑2+1\环境保护、化工、IT设备、汽车类、电力2</t>
    <phoneticPr fontId="5" type="noConversion"/>
  </si>
  <si>
    <t>ST板块11+3\机器人概.念9+2\新能源车8+5\物联网8+1\充电桩7储能、国防军工7+2\人工智能、风电7\5G概念6+5\高端装备6+2\一带一路6+1\光伏、东数西算、水利建设、数据中心、工业互联6</t>
  </si>
  <si>
    <t>化纤\航空\水务\保险\商贸代理\电力\钢铁\房地产\石油\农林牧渔</t>
    <phoneticPr fontId="5" type="noConversion"/>
  </si>
  <si>
    <t>可燃冰\虫害防治\POE胶膜\风沙治理\人造肉\租购同权\镍金属\磷概念\医废处理\草甘膦</t>
    <phoneticPr fontId="5" type="noConversion"/>
  </si>
  <si>
    <t>电气设备8\汽车类7\建筑、化工3\元器件、家居用品、房地产、工程机械、纺织服饰、有色、电力2</t>
    <phoneticPr fontId="5" type="noConversion"/>
  </si>
  <si>
    <t>ST板块11\新能源车10+2\一带一路10+1\储能、锂电池概念9+2\绿色电力9+1\光伏8+2\人工智能7+2\风电6+2\创投概念6+1\芯片5+4\含可转债5+1\低空经济5</t>
    <phoneticPr fontId="5" type="noConversion"/>
  </si>
  <si>
    <t>证券\有色\工程机械\电气设备\多元金融\保险\化工\元器件\综合类\酿酒</t>
    <phoneticPr fontId="5" type="noConversion"/>
  </si>
  <si>
    <t>镍金属\锂矿\钠电池\钴金属\盐湖提锂\固态电池\钒电池\动力电池回收\氟概念\锂电池概念</t>
    <phoneticPr fontId="5" type="noConversion"/>
  </si>
  <si>
    <t>化工10+3\电气设备5+6\有色5\汽车类4+1\环境保护4\元器件、软件服务3+3\建筑3\工业机械、证券2+1\房地产、供气供热2</t>
  </si>
  <si>
    <t>锂电池概念15+9\储能14+6\ST板块13+3\新能源车12+7\机器人概念11+8\光伏11+3\固态电池9+7\节能环保9\一带一路、含可转债8+1\创投概念8\人工智能、钠电池、人形机器人6+3\绿色电力6\特斯拉概念、数字孪生5+1\碳中和5</t>
    <phoneticPr fontId="5" type="noConversion"/>
  </si>
  <si>
    <t>航空\有色\房地产\半导体\电气设备\公共交通\医疗保健\医药\化工\软件服务</t>
    <phoneticPr fontId="5" type="noConversion"/>
  </si>
  <si>
    <t>钴金属\军贸概念\镍金属\存储芯片\锂矿\Sora概念\稀缺资源\MCU芯片\磷概念\黄金概念</t>
    <phoneticPr fontId="5" type="noConversion"/>
  </si>
  <si>
    <t>汽车类6\电气设备5+2\有色5\化工3+1\建筑、工业机械3\半导体2+6\元器件2+4\软件服务2+2\通信设备2+1\房地产、环境保护、通用机械、航空2</t>
    <phoneticPr fontId="5" type="noConversion"/>
  </si>
  <si>
    <t>储能12+4\芯片11+7\ST板块11+4\新能源车10+5\锂电池概念10+3\机器人概念10+2\光伏9+2\国防军工8+2\-带一路、无人机8+1\人工智能7+7\物联网7+1\创投概念7\消费电子概念6+4\信创、数据中心6+1\高端装备6\智慧城市、国产软件、低空经济5+1\PPP概念、军民融合、虚拟现实5</t>
    <phoneticPr fontId="5" type="noConversion"/>
  </si>
  <si>
    <t>跌幅于大于10%</t>
    <phoneticPr fontId="5" type="noConversion"/>
  </si>
  <si>
    <t>全天总额</t>
    <phoneticPr fontId="5" type="noConversion"/>
  </si>
  <si>
    <t>上午总额</t>
    <phoneticPr fontId="5" type="noConversion"/>
  </si>
  <si>
    <t>下午总额</t>
    <phoneticPr fontId="5" type="noConversion"/>
  </si>
  <si>
    <t xml:space="preserve"> 今昨差额</t>
    <phoneticPr fontId="5" type="noConversion"/>
  </si>
  <si>
    <t>沪额上午</t>
    <phoneticPr fontId="5" type="noConversion"/>
  </si>
  <si>
    <t>沪额全天</t>
    <phoneticPr fontId="5" type="noConversion"/>
  </si>
  <si>
    <t>深综上午</t>
    <phoneticPr fontId="5" type="noConversion"/>
  </si>
  <si>
    <t>深综全天</t>
    <phoneticPr fontId="5" type="noConversion"/>
  </si>
  <si>
    <t>创额上午</t>
    <phoneticPr fontId="5" type="noConversion"/>
  </si>
  <si>
    <t>创额全天</t>
    <phoneticPr fontId="5" type="noConversion"/>
  </si>
  <si>
    <t>上涨</t>
    <phoneticPr fontId="5" type="noConversion"/>
  </si>
  <si>
    <t>全天涨停</t>
    <phoneticPr fontId="5" type="noConversion"/>
  </si>
  <si>
    <t>全天涨停连接板</t>
    <phoneticPr fontId="5" type="noConversion"/>
  </si>
  <si>
    <t>全天高度板</t>
    <phoneticPr fontId="5" type="noConversion"/>
  </si>
  <si>
    <t>深综下午</t>
    <phoneticPr fontId="5" type="noConversion"/>
  </si>
  <si>
    <t>创额下午</t>
    <phoneticPr fontId="5" type="noConversion"/>
  </si>
  <si>
    <t>矿物制品\有色\半导体\环境保护\航空\电信运营\钢铁\银行\软件服务\水务</t>
    <phoneticPr fontId="5" type="noConversion"/>
  </si>
  <si>
    <t>稀土永磁\钴金属\光刻机\超导概念\EDA概念\可控核聚变\军贸概念\种业\稀缺资源\黄金概念</t>
    <phoneticPr fontId="5" type="noConversion"/>
  </si>
  <si>
    <t>有色8+1\工业机械5+5\化工5+4\元器件5+1\半导体4+6\建筑4\环境保护3+3\软件服务3+1\电器仪表2+3\家居用品、房地产、商业连锁、钢铁、电力2</t>
    <phoneticPr fontId="5" type="noConversion"/>
  </si>
  <si>
    <t>芯片16+12\新能源车15+9\ST板块14+4\国防军工13+5\稀土永磁12+8\新材料9+5\消费电子概念9+3\可控核聚变、一带一路、锂电池概念8+4\OLED概念8+3\机器人概念7+6\人工智能、氢能源7+2\光刻机6+7\第三代半导体6+4商业航天6+1\固态电池5+5\5G概念、信创、数据中心、低空经济5+2</t>
    <phoneticPr fontId="5" type="noConversion"/>
  </si>
  <si>
    <r>
      <t>保险\银行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煤炭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酿酒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多元金融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船舶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交通设施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供气供热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石油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运输服务</t>
    </r>
    <phoneticPr fontId="5" type="noConversion"/>
  </si>
  <si>
    <t>培育钻石\白酒概念\水产品\页岩气\种业\粮食概念\天然气\航运概念\免税概念\可燃冰</t>
    <phoneticPr fontId="5" type="noConversion"/>
  </si>
  <si>
    <t>工业机械、化工3\元器件2+2\家居用品、环境保护、供气供热、电气设备、有色、煤炭2</t>
    <phoneticPr fontId="5" type="noConversion"/>
  </si>
  <si>
    <t>ST板块8+1\新材料、一带一路7+2\光伏7+1\氢能源7\新能源车6+4\粤港澳6\第三代半导体4+3\储能、消费电子概念、机器人概念4+2\乡村振兴、物联网、锂电池概念4</t>
    <phoneticPr fontId="5" type="noConversion"/>
  </si>
  <si>
    <r>
      <t>免疫治疗\PEEK材料\</t>
    </r>
    <r>
      <rPr>
        <sz val="11"/>
        <color theme="1"/>
        <rFont val="等线"/>
        <charset val="134"/>
        <scheme val="minor"/>
      </rPr>
      <t>高压快充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汽车热管理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减速器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创新药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cXo概念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换电概念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人形机器人</t>
    </r>
    <r>
      <rPr>
        <sz val="11"/>
        <color theme="1"/>
        <rFont val="等线"/>
        <family val="3"/>
        <charset val="134"/>
        <scheme val="minor"/>
      </rPr>
      <t>\小米汽车概念</t>
    </r>
    <phoneticPr fontId="5" type="noConversion"/>
  </si>
  <si>
    <t>电气设备12+2\汽车类10+6\医药4+2建筑4+1\化工4\软件服务、元器件3+1\工业机械、通用机械2+1\房地产、有色、电力2</t>
    <phoneticPr fontId="5" type="noConversion"/>
  </si>
  <si>
    <r>
      <t>新能源车2</t>
    </r>
    <r>
      <rPr>
        <sz val="11"/>
        <color theme="1"/>
        <rFont val="等线"/>
        <family val="3"/>
        <charset val="134"/>
        <scheme val="minor"/>
      </rPr>
      <t>4+11\</t>
    </r>
    <r>
      <rPr>
        <sz val="11"/>
        <color theme="1"/>
        <rFont val="等线"/>
        <charset val="134"/>
        <scheme val="minor"/>
      </rPr>
      <t>机器人概念</t>
    </r>
    <r>
      <rPr>
        <sz val="11"/>
        <color theme="1"/>
        <rFont val="等线"/>
        <family val="3"/>
        <charset val="134"/>
        <scheme val="minor"/>
      </rPr>
      <t>21+12\</t>
    </r>
    <r>
      <rPr>
        <sz val="11"/>
        <color theme="1"/>
        <rFont val="等线"/>
        <charset val="134"/>
        <scheme val="minor"/>
      </rPr>
      <t>ST板块</t>
    </r>
    <r>
      <rPr>
        <sz val="11"/>
        <color theme="1"/>
        <rFont val="等线"/>
        <family val="3"/>
        <charset val="134"/>
        <scheme val="minor"/>
      </rPr>
      <t>17+5\</t>
    </r>
    <r>
      <rPr>
        <sz val="11"/>
        <color theme="1"/>
        <rFont val="等线"/>
        <charset val="134"/>
        <scheme val="minor"/>
      </rPr>
      <t>储能</t>
    </r>
    <r>
      <rPr>
        <sz val="11"/>
        <color theme="1"/>
        <rFont val="等线"/>
        <family val="3"/>
        <charset val="134"/>
        <scheme val="minor"/>
      </rPr>
      <t>14+4\</t>
    </r>
    <r>
      <rPr>
        <sz val="11"/>
        <color theme="1"/>
        <rFont val="等线"/>
        <charset val="134"/>
        <scheme val="minor"/>
      </rPr>
      <t>光伏</t>
    </r>
    <r>
      <rPr>
        <sz val="11"/>
        <color theme="1"/>
        <rFont val="等线"/>
        <family val="3"/>
        <charset val="134"/>
        <scheme val="minor"/>
      </rPr>
      <t>14+1\</t>
    </r>
    <r>
      <rPr>
        <sz val="11"/>
        <color theme="1"/>
        <rFont val="等线"/>
        <charset val="134"/>
        <scheme val="minor"/>
      </rPr>
      <t>数据中心</t>
    </r>
    <r>
      <rPr>
        <sz val="11"/>
        <color theme="1"/>
        <rFont val="等线"/>
        <family val="3"/>
        <charset val="134"/>
        <scheme val="minor"/>
      </rPr>
      <t>12\一带一路11+3\</t>
    </r>
    <r>
      <rPr>
        <sz val="11"/>
        <color theme="1"/>
        <rFont val="等线"/>
        <charset val="134"/>
        <scheme val="minor"/>
      </rPr>
      <t>Deepseek概念</t>
    </r>
    <r>
      <rPr>
        <sz val="11"/>
        <color theme="1"/>
        <rFont val="等线"/>
        <family val="3"/>
        <charset val="134"/>
        <scheme val="minor"/>
      </rPr>
      <t>10+3\充电桩10+2\氢能源10+1\</t>
    </r>
    <r>
      <rPr>
        <sz val="11"/>
        <color theme="1"/>
        <rFont val="等线"/>
        <charset val="134"/>
        <scheme val="minor"/>
      </rPr>
      <t>芯片</t>
    </r>
    <r>
      <rPr>
        <sz val="11"/>
        <color theme="1"/>
        <rFont val="等线"/>
        <family val="3"/>
        <charset val="134"/>
        <scheme val="minor"/>
      </rPr>
      <t>9+4\</t>
    </r>
    <r>
      <rPr>
        <sz val="11"/>
        <color theme="1"/>
        <rFont val="等线"/>
        <charset val="134"/>
        <scheme val="minor"/>
      </rPr>
      <t>人工智能</t>
    </r>
    <r>
      <rPr>
        <sz val="11"/>
        <color theme="1"/>
        <rFont val="等线"/>
        <family val="3"/>
        <charset val="134"/>
        <scheme val="minor"/>
      </rPr>
      <t>9+3\</t>
    </r>
    <r>
      <rPr>
        <sz val="11"/>
        <color theme="1"/>
        <rFont val="等线"/>
        <charset val="134"/>
        <scheme val="minor"/>
      </rPr>
      <t>粤港澳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charset val="134"/>
        <scheme val="minor"/>
      </rPr>
      <t>低空经济</t>
    </r>
    <r>
      <rPr>
        <sz val="11"/>
        <color theme="1"/>
        <rFont val="等线"/>
        <family val="3"/>
        <charset val="134"/>
        <scheme val="minor"/>
      </rPr>
      <t>8+3\</t>
    </r>
    <r>
      <rPr>
        <sz val="11"/>
        <color theme="1"/>
        <rFont val="等线"/>
        <charset val="134"/>
        <scheme val="minor"/>
      </rPr>
      <t>智能电网</t>
    </r>
    <r>
      <rPr>
        <sz val="11"/>
        <color theme="1"/>
        <rFont val="等线"/>
        <family val="3"/>
        <charset val="134"/>
        <scheme val="minor"/>
      </rPr>
      <t>8+2\风电8+1\</t>
    </r>
    <r>
      <rPr>
        <sz val="11"/>
        <color theme="1"/>
        <rFont val="等线"/>
        <charset val="134"/>
        <scheme val="minor"/>
      </rPr>
      <t>人形机器人</t>
    </r>
    <r>
      <rPr>
        <sz val="11"/>
        <color theme="1"/>
        <rFont val="等线"/>
        <family val="3"/>
        <charset val="134"/>
        <scheme val="minor"/>
      </rPr>
      <t>7+6\汽车电子7+5\无人机7+2\燃料电池7\无人驾驶6+5\</t>
    </r>
    <r>
      <rPr>
        <sz val="11"/>
        <color theme="1"/>
        <rFont val="等线"/>
        <charset val="134"/>
        <scheme val="minor"/>
      </rPr>
      <t>乡村振兴</t>
    </r>
    <r>
      <rPr>
        <sz val="11"/>
        <color theme="1"/>
        <rFont val="等线"/>
        <family val="3"/>
        <charset val="134"/>
        <scheme val="minor"/>
      </rPr>
      <t>、</t>
    </r>
    <r>
      <rPr>
        <sz val="11"/>
        <color theme="1"/>
        <rFont val="等线"/>
        <charset val="134"/>
        <scheme val="minor"/>
      </rPr>
      <t>特斯拉概念</t>
    </r>
    <r>
      <rPr>
        <sz val="11"/>
        <color theme="1"/>
        <rFont val="等线"/>
        <family val="3"/>
        <charset val="134"/>
        <scheme val="minor"/>
      </rPr>
      <t>6+2</t>
    </r>
    <phoneticPr fontId="5" type="noConversion"/>
  </si>
  <si>
    <t>雄安新区、虚拟电厂6\5G概念5+3\高压快充、碳中和5+2\特高压、工业互联、数据要素、核电核能5+1\阿里概念5</t>
    <phoneticPr fontId="5" type="noConversion"/>
  </si>
  <si>
    <r>
      <t>工程机械\通信设备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日用化工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元器件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电气设备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汽车类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医药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通用机械</t>
    </r>
    <r>
      <rPr>
        <sz val="11"/>
        <color theme="1"/>
        <rFont val="等线"/>
        <family val="3"/>
        <charset val="134"/>
        <scheme val="minor"/>
      </rPr>
      <t>\</t>
    </r>
    <r>
      <rPr>
        <sz val="11"/>
        <color theme="1"/>
        <rFont val="等线"/>
        <charset val="134"/>
        <scheme val="minor"/>
      </rPr>
      <t>保险建材</t>
    </r>
    <phoneticPr fontId="5" type="noConversion"/>
  </si>
  <si>
    <t>煤炭\保险\银行\酿酒\石油\运输服务\交通设施\通信设备\医药\电力</t>
    <phoneticPr fontId="5" type="noConversion"/>
  </si>
  <si>
    <t>海南自贸\含H股\培育钻石\通达信88\白酒概念\存储芯片\ST板块\仿制药\民营医院\航运概念</t>
    <phoneticPr fontId="5" type="noConversion"/>
  </si>
  <si>
    <t>化工5+2\汽车类、电气设备4\医药3+3\元器件3+1\运输服务、煤炭3\房地产、建材、有色2</t>
    <phoneticPr fontId="5" type="noConversion"/>
  </si>
  <si>
    <r>
      <t>ST板块15+2\人工智能7+2\新能源车7+1\一带一路、Deepseek概念6+2\机器人概念6+1\储能、充电桩、光伏、创投概念6\数据中心5+3\锂电池概念5+1\乡村振兴、粤港澳、氢能源5</t>
    </r>
    <r>
      <rPr>
        <sz val="11"/>
        <color theme="1"/>
        <rFont val="等线"/>
        <charset val="134"/>
        <scheme val="minor"/>
      </rPr>
      <t/>
    </r>
    <phoneticPr fontId="5" type="noConversion"/>
  </si>
  <si>
    <t>电信运营\交通设施\银行\运输服务</t>
    <phoneticPr fontId="5" type="noConversion"/>
  </si>
  <si>
    <t>风沙治理\赛马概念\土地流转</t>
    <phoneticPr fontId="5" type="noConversion"/>
  </si>
  <si>
    <t>化工5+3\纺织服饰、元器件3\通信设备、运输服务、家用电器、钢铁、煤炭2</t>
    <phoneticPr fontId="5" type="noConversion"/>
  </si>
  <si>
    <t>物联网、ST板块7\跨境电商、海峡西岸6\机器人概念、创投概念、新能源车5+1\新零售、新材料5</t>
    <phoneticPr fontId="5" type="noConversion"/>
  </si>
  <si>
    <t>全天总跌停</t>
    <phoneticPr fontId="5" type="noConversion"/>
  </si>
  <si>
    <t>两融资余额</t>
    <phoneticPr fontId="5" type="noConversion"/>
  </si>
  <si>
    <t>融资净买入</t>
    <phoneticPr fontId="5" type="noConversion"/>
  </si>
  <si>
    <t>涨停板&gt;100亿(上午）</t>
    <phoneticPr fontId="5" type="noConversion"/>
  </si>
  <si>
    <t>20亿&lt;涨停板&lt;50亿(上午）</t>
    <phoneticPr fontId="5" type="noConversion"/>
  </si>
  <si>
    <t>涨停板&lt;20亿(上午）</t>
    <phoneticPr fontId="5" type="noConversion"/>
  </si>
  <si>
    <t>涨停板&gt;100亿(全天）</t>
    <phoneticPr fontId="5" type="noConversion"/>
  </si>
  <si>
    <t>20亿&lt;涨停板&lt;50亿(全天）</t>
    <phoneticPr fontId="5" type="noConversion"/>
  </si>
  <si>
    <t>涨停板&lt;20亿(全天）</t>
    <phoneticPr fontId="5" type="noConversion"/>
  </si>
  <si>
    <t>通信设备\供气供热\公共交通\煤炭\旅游\酒店餐饮\保险\通用机械\矿物制品\石油</t>
    <phoneticPr fontId="5" type="noConversion"/>
  </si>
  <si>
    <t>培育钻石\页岩气\海洋经济\6G概念\CPo概念\光通信\人脑工程\地热能\复合铜箔\风沙治理</t>
    <phoneticPr fontId="5" type="noConversion"/>
  </si>
  <si>
    <t>工业机械7+2\供气供热7+1\煤炭7\化工6+3\电气设备5+2\元器件5\通信设备、房地产4\矿物制品3+2</t>
    <phoneticPr fontId="5" type="noConversion"/>
  </si>
  <si>
    <r>
      <t>ST板块19+4\机器人概念15+4\一带一路13\芯片12+6\新能源车11+3\物联网11+1\风电10+1\工业互联9\人工智能8+5\天然气、氢能源8+1\商业航天8\东数西算、数据中心7+3\DeepSeek概念、智能家居7+2\光伏、新材料7+1\创投概念、绿色电力7\储能6+4\桩消费电子概念6+3\5G概念6+2</t>
    </r>
    <r>
      <rPr>
        <sz val="11"/>
        <color theme="1"/>
        <rFont val="等线"/>
        <charset val="134"/>
        <scheme val="minor"/>
      </rPr>
      <t/>
    </r>
    <phoneticPr fontId="5" type="noConversion"/>
  </si>
  <si>
    <t>通信设备\元器件\船舶\半导体\工程机械\公共交通\商贸代理\综合类\运输设备\工业机械</t>
  </si>
  <si>
    <t>页岩气\培育钻石\CPO概念\可燃冰\MicroLED\租购同权\光通信\PCB概,念\MiniLED\苹果概念</t>
    <phoneticPr fontId="5" type="noConversion"/>
  </si>
  <si>
    <t>工业机械8+2\房地产7\建筑5+1\元器件4+3\工程机械4+1\化工4\半导体、电气设备3+1\环境保护、汽车类、石油3</t>
    <phoneticPr fontId="5" type="noConversion"/>
  </si>
  <si>
    <t>一带一路20+3\机器人概念12+5\ST板块14+1\光伏12+3\人工智能11+3\芯片10+7\PPP概念、含可转债10+1\高端装备9+3\节能环保9+2\绿色电力、氢能源、中俄贸易9\工业互联8+3\物联网8+2储能8+2\DeepSeek概念、锂电池概念8+1\创投概念、新零售、新型城镇、页岩气、碳中和8</t>
    <phoneticPr fontId="5" type="noConversion"/>
  </si>
  <si>
    <t>50亿&lt;涨停板&lt;100亿(全天）</t>
    <phoneticPr fontId="5" type="noConversion"/>
  </si>
  <si>
    <t>50亿&lt;涨停板&lt;100亿(上午）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</si>
</sst>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rgb="FFFA7D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85D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6489D"/>
        <bgColor indexed="64"/>
      </patternFill>
    </fill>
    <fill>
      <patternFill patternType="solid">
        <fgColor rgb="FFFF4425"/>
        <bgColor indexed="64"/>
      </patternFill>
    </fill>
    <fill>
      <patternFill patternType="solid">
        <fgColor rgb="FFFF5F6E"/>
        <bgColor indexed="64"/>
      </patternFill>
    </fill>
    <fill>
      <patternFill patternType="solid">
        <fgColor rgb="FFFFCDC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7">
    <xf numFmtId="0" fontId="0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3" fillId="0" borderId="1" applyNumberFormat="0" applyFill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right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1" fillId="13" borderId="0" xfId="0" applyFont="1" applyFill="1" applyAlignment="1">
      <alignment horizontal="center" vertical="center" wrapText="1"/>
    </xf>
    <xf numFmtId="10" fontId="4" fillId="0" borderId="0" xfId="0" applyNumberFormat="1" applyFont="1"/>
    <xf numFmtId="0" fontId="4" fillId="5" borderId="0" xfId="0" applyFont="1" applyFill="1"/>
    <xf numFmtId="0" fontId="4" fillId="5" borderId="0" xfId="0" applyFont="1" applyFill="1" applyAlignment="1">
      <alignment wrapText="1"/>
    </xf>
    <xf numFmtId="10" fontId="0" fillId="0" borderId="0" xfId="0" applyNumberFormat="1"/>
    <xf numFmtId="14" fontId="0" fillId="0" borderId="0" xfId="0" applyNumberFormat="1"/>
    <xf numFmtId="0" fontId="1" fillId="14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16" borderId="0" xfId="0" applyFont="1" applyFill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</cellXfs>
  <cellStyles count="7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  <cellStyle name="常规 4 2" xfId="4" xr:uid="{00000000-0005-0000-0000-000034000000}"/>
    <cellStyle name="常规 4 3" xfId="5" xr:uid="{00000000-0005-0000-0000-000035000000}"/>
    <cellStyle name="链接单元格 2" xfId="6" xr:uid="{00000000-0005-0000-0000-000037000000}"/>
  </cellStyles>
  <dxfs count="0"/>
  <tableStyles count="0" defaultTableStyle="TableStyleMedium2" defaultPivotStyle="PivotStyleLight16"/>
  <colors>
    <mruColors>
      <color rgb="FFFFCDC5"/>
      <color rgb="FFFF5F6E"/>
      <color rgb="FFFF4425"/>
      <color rgb="FFB6489D"/>
      <color rgb="FFFF3346"/>
      <color rgb="FFFF85DF"/>
      <color rgb="FF008000"/>
      <color rgb="FF60FF8D"/>
      <color rgb="FFFF9999"/>
      <color rgb="FFFF8C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3936A-539C-4D58-9034-C5D5D3D827F9}">
  <sheetPr>
    <tabColor rgb="FFC00000"/>
  </sheetPr>
  <dimension ref="A1:BB200"/>
  <sheetViews>
    <sheetView tabSelected="1" topLeftCell="AJ1" workbookViewId="0">
      <selection activeCell="AS3" sqref="AS3"/>
    </sheetView>
  </sheetViews>
  <sheetFormatPr defaultColWidth="9" defaultRowHeight="14.25"/>
  <cols>
    <col min="1" max="1" width="13" customWidth="1"/>
    <col min="2" max="2" width="8.875" customWidth="1"/>
    <col min="3" max="4" width="11.375" style="1" customWidth="1"/>
    <col min="5" max="5" width="18.25" style="1" customWidth="1"/>
    <col min="6" max="6" width="12.375" style="2" customWidth="1"/>
    <col min="7" max="7" width="8.5" customWidth="1"/>
    <col min="8" max="8" width="12.125" customWidth="1"/>
    <col min="9" max="9" width="11.375" customWidth="1"/>
    <col min="10" max="10" width="12.375" customWidth="1"/>
    <col min="11" max="11" width="8.5" customWidth="1"/>
    <col min="12" max="13" width="11.375" customWidth="1"/>
    <col min="14" max="14" width="11" customWidth="1"/>
    <col min="15" max="15" width="10.875" customWidth="1"/>
    <col min="16" max="16" width="9.875" customWidth="1"/>
    <col min="17" max="17" width="10.375" customWidth="1"/>
    <col min="18" max="22" width="12.375" customWidth="1"/>
    <col min="23" max="23" width="9" customWidth="1"/>
    <col min="24" max="24" width="9.625" customWidth="1"/>
    <col min="25" max="25" width="9" customWidth="1"/>
    <col min="26" max="26" width="12.375" customWidth="1"/>
    <col min="27" max="27" width="9.875" customWidth="1"/>
    <col min="28" max="28" width="7.25" customWidth="1"/>
    <col min="29" max="29" width="13.875" customWidth="1"/>
    <col min="30" max="30" width="9.125" customWidth="1"/>
    <col min="31" max="31" width="7.25" customWidth="1"/>
    <col min="32" max="35" width="15" customWidth="1"/>
    <col min="36" max="36" width="11.875" customWidth="1"/>
    <col min="37" max="37" width="7.125" customWidth="1"/>
    <col min="38" max="38" width="10.25" customWidth="1"/>
    <col min="39" max="39" width="5.875" customWidth="1"/>
    <col min="40" max="40" width="7.75" customWidth="1"/>
    <col min="41" max="49" width="11.875" customWidth="1"/>
    <col min="50" max="50" width="85.5" customWidth="1"/>
    <col min="51" max="51" width="92.625" customWidth="1"/>
    <col min="52" max="52" width="131.875" customWidth="1"/>
    <col min="53" max="53" width="255.5" customWidth="1"/>
    <col min="54" max="54" width="227.25" customWidth="1"/>
  </cols>
  <sheetData>
    <row r="1" spans="1:54" ht="52.5" customHeight="1">
      <c r="A1" s="3" t="s">
        <v>0</v>
      </c>
      <c r="B1" s="3" t="s">
        <v>4</v>
      </c>
      <c r="C1" s="4" t="s">
        <v>63</v>
      </c>
      <c r="D1" s="5" t="s">
        <v>64</v>
      </c>
      <c r="E1" s="6" t="s">
        <v>62</v>
      </c>
      <c r="F1" s="7" t="s">
        <v>65</v>
      </c>
      <c r="G1" s="3" t="s">
        <v>5</v>
      </c>
      <c r="H1" s="8" t="s">
        <v>66</v>
      </c>
      <c r="I1" s="5" t="s">
        <v>6</v>
      </c>
      <c r="J1" s="9" t="s">
        <v>67</v>
      </c>
      <c r="K1" s="3" t="s">
        <v>7</v>
      </c>
      <c r="L1" s="10" t="s">
        <v>68</v>
      </c>
      <c r="M1" s="5" t="s">
        <v>76</v>
      </c>
      <c r="N1" s="11" t="s">
        <v>69</v>
      </c>
      <c r="O1" s="3" t="s">
        <v>8</v>
      </c>
      <c r="P1" s="8" t="s">
        <v>70</v>
      </c>
      <c r="Q1" s="5" t="s">
        <v>77</v>
      </c>
      <c r="R1" s="9" t="s">
        <v>71</v>
      </c>
      <c r="S1" t="s">
        <v>100</v>
      </c>
      <c r="T1" t="s">
        <v>101</v>
      </c>
      <c r="U1" s="19" t="s">
        <v>30</v>
      </c>
      <c r="V1" s="25" t="s">
        <v>31</v>
      </c>
      <c r="W1" s="12" t="s">
        <v>72</v>
      </c>
      <c r="X1" s="8" t="s">
        <v>10</v>
      </c>
      <c r="Y1" s="13" t="s">
        <v>1</v>
      </c>
      <c r="Z1" s="6" t="s">
        <v>11</v>
      </c>
      <c r="AA1" s="6" t="s">
        <v>19</v>
      </c>
      <c r="AB1" s="6" t="s">
        <v>20</v>
      </c>
      <c r="AC1" s="19" t="s">
        <v>73</v>
      </c>
      <c r="AD1" s="19" t="s">
        <v>74</v>
      </c>
      <c r="AE1" s="19" t="s">
        <v>75</v>
      </c>
      <c r="AF1" s="12" t="s">
        <v>21</v>
      </c>
      <c r="AG1" s="12" t="s">
        <v>22</v>
      </c>
      <c r="AH1" s="12" t="s">
        <v>23</v>
      </c>
      <c r="AI1" s="12" t="s">
        <v>24</v>
      </c>
      <c r="AJ1" s="12" t="s">
        <v>29</v>
      </c>
      <c r="AK1" s="13" t="s">
        <v>25</v>
      </c>
      <c r="AL1" s="13" t="s">
        <v>26</v>
      </c>
      <c r="AM1" s="13" t="s">
        <v>27</v>
      </c>
      <c r="AN1" s="13" t="s">
        <v>61</v>
      </c>
      <c r="AO1" s="13" t="s">
        <v>99</v>
      </c>
      <c r="AP1" s="19" t="s">
        <v>102</v>
      </c>
      <c r="AQ1" s="26" t="s">
        <v>117</v>
      </c>
      <c r="AR1" s="27" t="s">
        <v>103</v>
      </c>
      <c r="AS1" s="28" t="s">
        <v>104</v>
      </c>
      <c r="AT1" s="19" t="s">
        <v>105</v>
      </c>
      <c r="AU1" s="26" t="s">
        <v>116</v>
      </c>
      <c r="AV1" s="27" t="s">
        <v>106</v>
      </c>
      <c r="AW1" s="28" t="s">
        <v>107</v>
      </c>
      <c r="AX1" s="14" t="s">
        <v>2</v>
      </c>
      <c r="AY1" s="15" t="s">
        <v>3</v>
      </c>
      <c r="AZ1" s="12" t="s">
        <v>9</v>
      </c>
      <c r="BA1" s="16" t="s">
        <v>32</v>
      </c>
    </row>
    <row r="2" spans="1:54" ht="16.5">
      <c r="A2" s="24">
        <v>45922</v>
      </c>
      <c r="B2" s="17">
        <v>213.5</v>
      </c>
      <c r="C2" s="1">
        <v>13556.41</v>
      </c>
      <c r="D2" s="1">
        <f t="shared" ref="D2:D8" si="0">E2-C2</f>
        <v>7868.2200000000012</v>
      </c>
      <c r="E2" s="1">
        <v>21424.63</v>
      </c>
      <c r="F2" s="2">
        <v>-2069.5200000000004</v>
      </c>
      <c r="G2" s="17">
        <v>90.7</v>
      </c>
      <c r="H2">
        <v>5896.74</v>
      </c>
      <c r="I2" s="5">
        <f t="shared" ref="I2:I8" si="1">J2-H2</f>
        <v>3521.26</v>
      </c>
      <c r="J2" s="1">
        <v>9418</v>
      </c>
      <c r="K2" s="17">
        <v>121</v>
      </c>
      <c r="L2" s="17">
        <v>7530.25</v>
      </c>
      <c r="M2" s="5">
        <f t="shared" ref="M2:M8" si="2">N2-L2</f>
        <v>4266.6499999999996</v>
      </c>
      <c r="N2" s="1">
        <v>11796.9</v>
      </c>
      <c r="O2">
        <v>39.6</v>
      </c>
      <c r="P2" s="17">
        <v>3401.08</v>
      </c>
      <c r="Q2" s="5">
        <f t="shared" ref="Q2:Q8" si="3">R2-P2</f>
        <v>2073.83</v>
      </c>
      <c r="R2" s="1">
        <v>5474.91</v>
      </c>
      <c r="S2">
        <v>24200</v>
      </c>
      <c r="T2">
        <v>192.33</v>
      </c>
      <c r="U2">
        <v>2708.83</v>
      </c>
      <c r="V2" s="17">
        <v>-4.2</v>
      </c>
      <c r="W2" s="17">
        <v>2175</v>
      </c>
      <c r="X2" s="17">
        <v>102</v>
      </c>
      <c r="Y2" s="17">
        <v>3153</v>
      </c>
      <c r="Z2" s="17">
        <v>47</v>
      </c>
      <c r="AA2" s="17">
        <v>9</v>
      </c>
      <c r="AB2" s="17">
        <v>4</v>
      </c>
      <c r="AC2" s="17">
        <v>65</v>
      </c>
      <c r="AD2" s="17">
        <v>12</v>
      </c>
      <c r="AE2" s="17">
        <v>5</v>
      </c>
      <c r="AF2" s="17">
        <v>64</v>
      </c>
      <c r="AG2">
        <v>9</v>
      </c>
      <c r="AH2">
        <v>0</v>
      </c>
      <c r="AI2">
        <v>36</v>
      </c>
      <c r="AJ2" s="23">
        <v>0.75260000000000005</v>
      </c>
      <c r="AK2">
        <v>8</v>
      </c>
      <c r="AL2">
        <v>0</v>
      </c>
      <c r="AM2">
        <v>0</v>
      </c>
      <c r="AN2">
        <v>5</v>
      </c>
      <c r="AO2">
        <f>AK2+AL2+AM2</f>
        <v>8</v>
      </c>
      <c r="AX2" s="21" t="s">
        <v>33</v>
      </c>
      <c r="AY2" s="21" t="s">
        <v>34</v>
      </c>
      <c r="AZ2" s="22" t="s">
        <v>35</v>
      </c>
      <c r="BA2" s="22" t="s">
        <v>36</v>
      </c>
    </row>
    <row r="3" spans="1:54" ht="16.5">
      <c r="A3" s="24">
        <v>45923</v>
      </c>
      <c r="B3" s="17">
        <v>213.6</v>
      </c>
      <c r="C3" s="1">
        <v>17135.39</v>
      </c>
      <c r="D3" s="1">
        <f t="shared" si="0"/>
        <v>8049.3300000000017</v>
      </c>
      <c r="E3" s="1">
        <v>25184.720000000001</v>
      </c>
      <c r="F3" s="2">
        <v>3760.09</v>
      </c>
      <c r="G3" s="17">
        <v>78.599999999999994</v>
      </c>
      <c r="H3">
        <v>7224.31</v>
      </c>
      <c r="I3" s="5">
        <f t="shared" si="1"/>
        <v>3492.6699999999992</v>
      </c>
      <c r="J3" s="1">
        <v>10716.98</v>
      </c>
      <c r="K3" s="17">
        <v>133</v>
      </c>
      <c r="L3" s="17">
        <v>9742.0499999999993</v>
      </c>
      <c r="M3" s="5">
        <f t="shared" si="2"/>
        <v>4484.8600000000006</v>
      </c>
      <c r="N3" s="1">
        <v>14226.91</v>
      </c>
      <c r="O3">
        <v>58.5</v>
      </c>
      <c r="P3" s="17">
        <v>4569.9799999999996</v>
      </c>
      <c r="Q3" s="5">
        <f t="shared" si="3"/>
        <v>2133.1800000000003</v>
      </c>
      <c r="R3" s="1">
        <v>6703.16</v>
      </c>
      <c r="S3">
        <v>24200</v>
      </c>
      <c r="T3">
        <v>-7.83</v>
      </c>
      <c r="U3">
        <v>3245.63</v>
      </c>
      <c r="V3" s="17">
        <v>-8.5</v>
      </c>
      <c r="W3" s="17">
        <v>1108</v>
      </c>
      <c r="X3" s="17">
        <v>57</v>
      </c>
      <c r="Y3" s="17">
        <v>4266</v>
      </c>
      <c r="Z3" s="17">
        <v>50</v>
      </c>
      <c r="AA3" s="17">
        <v>18</v>
      </c>
      <c r="AB3" s="17">
        <v>6</v>
      </c>
      <c r="AC3" s="17">
        <v>37</v>
      </c>
      <c r="AD3" s="17">
        <v>14</v>
      </c>
      <c r="AE3" s="17">
        <v>6</v>
      </c>
      <c r="AF3" s="17">
        <v>44</v>
      </c>
      <c r="AG3" s="17">
        <v>6</v>
      </c>
      <c r="AH3" s="17">
        <v>0</v>
      </c>
      <c r="AI3" s="17">
        <v>13</v>
      </c>
      <c r="AJ3" s="23">
        <v>0.72599999999999998</v>
      </c>
      <c r="AK3">
        <v>9</v>
      </c>
      <c r="AL3">
        <v>0</v>
      </c>
      <c r="AM3">
        <v>0</v>
      </c>
      <c r="AN3">
        <v>4</v>
      </c>
      <c r="AO3">
        <f t="shared" ref="AO3:AO66" si="4">AK3+AL3+AM3</f>
        <v>9</v>
      </c>
      <c r="AX3" s="17" t="s">
        <v>37</v>
      </c>
      <c r="AY3" s="17" t="s">
        <v>38</v>
      </c>
      <c r="AZ3" s="18" t="s">
        <v>39</v>
      </c>
      <c r="BA3" s="18" t="s">
        <v>40</v>
      </c>
    </row>
    <row r="4" spans="1:54" ht="16.5">
      <c r="A4" s="24">
        <v>45924</v>
      </c>
      <c r="B4" s="17">
        <v>177.1</v>
      </c>
      <c r="C4" s="1">
        <v>14202.82</v>
      </c>
      <c r="D4" s="1">
        <f t="shared" si="0"/>
        <v>9268.7200000000012</v>
      </c>
      <c r="E4" s="1">
        <v>23471.54</v>
      </c>
      <c r="F4" s="2">
        <v>-1713.1800000000003</v>
      </c>
      <c r="G4" s="17">
        <v>71.099999999999994</v>
      </c>
      <c r="H4">
        <v>6281.68</v>
      </c>
      <c r="I4" s="5">
        <f t="shared" si="1"/>
        <v>3875.3999999999996</v>
      </c>
      <c r="J4" s="1">
        <v>10157.08</v>
      </c>
      <c r="K4" s="17">
        <v>104.8</v>
      </c>
      <c r="L4" s="17">
        <v>7799.53</v>
      </c>
      <c r="M4" s="5">
        <f t="shared" si="2"/>
        <v>5311.3</v>
      </c>
      <c r="N4" s="1">
        <v>13110.83</v>
      </c>
      <c r="O4">
        <v>46.6</v>
      </c>
      <c r="P4" s="17">
        <v>3829.91</v>
      </c>
      <c r="Q4" s="5">
        <f t="shared" si="3"/>
        <v>2491.17</v>
      </c>
      <c r="R4" s="1">
        <v>6321.08</v>
      </c>
      <c r="S4">
        <v>24300</v>
      </c>
      <c r="T4">
        <v>141</v>
      </c>
      <c r="U4">
        <v>2861.33</v>
      </c>
      <c r="V4" s="17">
        <v>-4.5</v>
      </c>
      <c r="W4" s="17">
        <v>4458</v>
      </c>
      <c r="X4" s="17">
        <v>120</v>
      </c>
      <c r="Y4" s="17">
        <v>853</v>
      </c>
      <c r="Z4" s="17">
        <v>58</v>
      </c>
      <c r="AA4" s="17">
        <v>12</v>
      </c>
      <c r="AB4" s="17">
        <v>4</v>
      </c>
      <c r="AC4" s="17">
        <v>78</v>
      </c>
      <c r="AD4" s="17">
        <v>12</v>
      </c>
      <c r="AE4" s="17">
        <v>4</v>
      </c>
      <c r="AF4" s="17">
        <v>67</v>
      </c>
      <c r="AG4" s="17">
        <v>10</v>
      </c>
      <c r="AH4" s="17">
        <v>1</v>
      </c>
      <c r="AI4" s="17">
        <v>39</v>
      </c>
      <c r="AJ4" s="23">
        <v>0.73109999999999997</v>
      </c>
      <c r="AK4">
        <v>7</v>
      </c>
      <c r="AL4">
        <v>0</v>
      </c>
      <c r="AM4">
        <v>0</v>
      </c>
      <c r="AN4">
        <v>1</v>
      </c>
      <c r="AO4">
        <f t="shared" si="4"/>
        <v>7</v>
      </c>
      <c r="AX4" s="17" t="s">
        <v>41</v>
      </c>
      <c r="AY4" s="17" t="s">
        <v>42</v>
      </c>
      <c r="AZ4" s="18" t="s">
        <v>43</v>
      </c>
      <c r="BA4" s="18" t="s">
        <v>44</v>
      </c>
    </row>
    <row r="5" spans="1:54" ht="16.5">
      <c r="A5" s="24">
        <v>45925</v>
      </c>
      <c r="B5" s="17">
        <v>211.6</v>
      </c>
      <c r="C5" s="1">
        <v>15557.82</v>
      </c>
      <c r="D5" s="1">
        <f t="shared" si="0"/>
        <v>8359.89</v>
      </c>
      <c r="E5" s="1">
        <v>23917.71</v>
      </c>
      <c r="F5" s="2">
        <v>446.16999999999825</v>
      </c>
      <c r="G5" s="17">
        <v>93.6</v>
      </c>
      <c r="H5">
        <v>6564.26</v>
      </c>
      <c r="I5" s="5">
        <f t="shared" si="1"/>
        <v>3447.8500000000004</v>
      </c>
      <c r="J5" s="1">
        <v>10012.11</v>
      </c>
      <c r="K5" s="17">
        <v>115.8</v>
      </c>
      <c r="L5" s="17">
        <v>8967.7000000000007</v>
      </c>
      <c r="M5" s="5">
        <f t="shared" si="2"/>
        <v>4731.1499999999996</v>
      </c>
      <c r="N5" s="1">
        <v>13698.85</v>
      </c>
      <c r="O5">
        <v>45.7</v>
      </c>
      <c r="P5" s="17">
        <v>4347.6499999999996</v>
      </c>
      <c r="Q5" s="5">
        <f t="shared" si="3"/>
        <v>2282.88</v>
      </c>
      <c r="R5" s="1">
        <v>6630.53</v>
      </c>
      <c r="S5">
        <v>24400</v>
      </c>
      <c r="T5">
        <v>132.88</v>
      </c>
      <c r="U5">
        <v>2984.25</v>
      </c>
      <c r="V5" s="17">
        <v>-42</v>
      </c>
      <c r="W5" s="17">
        <v>1477</v>
      </c>
      <c r="X5" s="17">
        <v>80</v>
      </c>
      <c r="Y5" s="17">
        <v>3877</v>
      </c>
      <c r="Z5" s="17">
        <v>35</v>
      </c>
      <c r="AA5" s="17">
        <v>9</v>
      </c>
      <c r="AB5" s="17">
        <v>5</v>
      </c>
      <c r="AC5" s="17">
        <v>37</v>
      </c>
      <c r="AD5" s="17">
        <v>9</v>
      </c>
      <c r="AE5" s="17">
        <v>5</v>
      </c>
      <c r="AF5" s="17">
        <v>37</v>
      </c>
      <c r="AG5" s="17">
        <v>4</v>
      </c>
      <c r="AH5" s="17">
        <v>0</v>
      </c>
      <c r="AI5" s="17">
        <v>13</v>
      </c>
      <c r="AJ5" s="23">
        <v>0.70269999999999999</v>
      </c>
      <c r="AK5">
        <v>6</v>
      </c>
      <c r="AL5">
        <v>0</v>
      </c>
      <c r="AM5">
        <v>0</v>
      </c>
      <c r="AN5">
        <v>2</v>
      </c>
      <c r="AO5">
        <f t="shared" si="4"/>
        <v>6</v>
      </c>
      <c r="AX5" s="17" t="s">
        <v>45</v>
      </c>
      <c r="AY5" s="17" t="s">
        <v>46</v>
      </c>
      <c r="AZ5" s="18" t="s">
        <v>47</v>
      </c>
      <c r="BA5" s="18" t="s">
        <v>48</v>
      </c>
    </row>
    <row r="6" spans="1:54" ht="16.5">
      <c r="A6" s="24">
        <v>45926</v>
      </c>
      <c r="B6" s="17">
        <v>177.1</v>
      </c>
      <c r="C6" s="1">
        <v>13817.78</v>
      </c>
      <c r="D6" s="1">
        <f t="shared" si="0"/>
        <v>7843.2899999999991</v>
      </c>
      <c r="E6" s="1">
        <v>21661.07</v>
      </c>
      <c r="F6" s="2">
        <v>-2256.6399999999994</v>
      </c>
      <c r="G6" s="17">
        <v>72</v>
      </c>
      <c r="H6">
        <v>5958.67</v>
      </c>
      <c r="I6" s="5">
        <f t="shared" si="1"/>
        <v>3319.9799999999996</v>
      </c>
      <c r="J6" s="1">
        <v>9278.65</v>
      </c>
      <c r="K6" s="17">
        <v>103.4</v>
      </c>
      <c r="L6" s="17">
        <v>7737.65</v>
      </c>
      <c r="M6" s="5">
        <f t="shared" si="2"/>
        <v>4452.6000000000004</v>
      </c>
      <c r="N6" s="1">
        <v>12190.25</v>
      </c>
      <c r="O6">
        <v>42.3</v>
      </c>
      <c r="P6" s="17">
        <v>3630.95</v>
      </c>
      <c r="Q6" s="5">
        <f t="shared" si="3"/>
        <v>2071.4000000000005</v>
      </c>
      <c r="R6" s="1">
        <v>5702.35</v>
      </c>
      <c r="S6">
        <v>24200</v>
      </c>
      <c r="T6">
        <v>-192.53</v>
      </c>
      <c r="U6">
        <v>2789.12</v>
      </c>
      <c r="V6" s="17">
        <v>73</v>
      </c>
      <c r="W6" s="17">
        <v>1805</v>
      </c>
      <c r="X6" s="17">
        <v>216</v>
      </c>
      <c r="Y6" s="17">
        <v>3414</v>
      </c>
      <c r="Z6" s="17">
        <v>43</v>
      </c>
      <c r="AA6" s="17">
        <v>9</v>
      </c>
      <c r="AB6" s="17">
        <v>5</v>
      </c>
      <c r="AC6" s="17">
        <v>47</v>
      </c>
      <c r="AD6" s="17">
        <v>9</v>
      </c>
      <c r="AE6" s="17">
        <v>5</v>
      </c>
      <c r="AF6" s="17">
        <v>42</v>
      </c>
      <c r="AG6" s="17">
        <v>5</v>
      </c>
      <c r="AH6" s="17">
        <v>1</v>
      </c>
      <c r="AI6" s="17">
        <v>10</v>
      </c>
      <c r="AJ6" s="23">
        <v>0.67059999999999997</v>
      </c>
      <c r="AK6">
        <v>21</v>
      </c>
      <c r="AL6">
        <v>0</v>
      </c>
      <c r="AM6">
        <v>0</v>
      </c>
      <c r="AN6">
        <v>10</v>
      </c>
      <c r="AO6">
        <f t="shared" si="4"/>
        <v>21</v>
      </c>
      <c r="AX6" s="17" t="s">
        <v>49</v>
      </c>
      <c r="AY6" s="17" t="s">
        <v>50</v>
      </c>
      <c r="AZ6" s="18" t="s">
        <v>51</v>
      </c>
      <c r="BA6" s="18" t="s">
        <v>52</v>
      </c>
    </row>
    <row r="7" spans="1:54" ht="16.5">
      <c r="A7" s="24">
        <v>45929</v>
      </c>
      <c r="B7" s="17">
        <v>171.3</v>
      </c>
      <c r="C7" s="1">
        <v>12937.42</v>
      </c>
      <c r="D7" s="1">
        <f t="shared" si="0"/>
        <v>8844.01</v>
      </c>
      <c r="E7" s="1">
        <v>21781.43</v>
      </c>
      <c r="F7" s="2">
        <v>120.36000000000058</v>
      </c>
      <c r="G7" s="17">
        <v>67.8</v>
      </c>
      <c r="H7">
        <v>5551.42</v>
      </c>
      <c r="I7" s="5">
        <f t="shared" si="1"/>
        <v>4130.7000000000007</v>
      </c>
      <c r="J7" s="1">
        <v>9682.1200000000008</v>
      </c>
      <c r="K7" s="17">
        <v>102.4</v>
      </c>
      <c r="L7" s="17">
        <v>7290.8</v>
      </c>
      <c r="M7" s="5">
        <f t="shared" si="2"/>
        <v>4641.7300000000005</v>
      </c>
      <c r="N7" s="1">
        <v>11932.53</v>
      </c>
      <c r="O7">
        <v>42.2</v>
      </c>
      <c r="P7" s="17">
        <v>3442.82</v>
      </c>
      <c r="Q7" s="5">
        <f t="shared" si="3"/>
        <v>2303.9999999999995</v>
      </c>
      <c r="R7" s="1">
        <v>5746.82</v>
      </c>
      <c r="S7">
        <v>24300</v>
      </c>
      <c r="T7">
        <v>44.29</v>
      </c>
      <c r="U7">
        <v>2946.18</v>
      </c>
      <c r="V7" s="17">
        <v>-23.58</v>
      </c>
      <c r="W7" s="17">
        <v>3576</v>
      </c>
      <c r="X7" s="17">
        <v>201</v>
      </c>
      <c r="Y7" s="17">
        <v>1658</v>
      </c>
      <c r="Z7" s="17">
        <v>43</v>
      </c>
      <c r="AA7" s="17">
        <v>9</v>
      </c>
      <c r="AB7" s="17">
        <v>6</v>
      </c>
      <c r="AC7" s="17">
        <v>53</v>
      </c>
      <c r="AD7" s="17">
        <v>8</v>
      </c>
      <c r="AE7" s="17">
        <v>6</v>
      </c>
      <c r="AF7" s="17">
        <v>45</v>
      </c>
      <c r="AG7" s="17">
        <v>8</v>
      </c>
      <c r="AH7" s="17">
        <v>0</v>
      </c>
      <c r="AI7" s="17">
        <v>25</v>
      </c>
      <c r="AJ7" s="23">
        <v>0.72530000000000006</v>
      </c>
      <c r="AK7">
        <v>2</v>
      </c>
      <c r="AL7">
        <v>0</v>
      </c>
      <c r="AM7">
        <v>0</v>
      </c>
      <c r="AN7">
        <v>1</v>
      </c>
      <c r="AO7">
        <f t="shared" si="4"/>
        <v>2</v>
      </c>
      <c r="AX7" s="17" t="s">
        <v>53</v>
      </c>
      <c r="AY7" s="17" t="s">
        <v>54</v>
      </c>
      <c r="AZ7" s="18" t="s">
        <v>55</v>
      </c>
      <c r="BA7" s="18" t="s">
        <v>56</v>
      </c>
    </row>
    <row r="8" spans="1:54" ht="16.5">
      <c r="A8" s="24">
        <v>45930</v>
      </c>
      <c r="B8" s="17">
        <v>175.7</v>
      </c>
      <c r="C8" s="1">
        <v>13697.97</v>
      </c>
      <c r="D8" s="1">
        <f t="shared" si="0"/>
        <v>8274.5200000000023</v>
      </c>
      <c r="E8" s="1">
        <v>21972.49</v>
      </c>
      <c r="F8" s="2">
        <v>191.06000000000131</v>
      </c>
      <c r="G8" s="17">
        <v>72.099999999999994</v>
      </c>
      <c r="H8">
        <v>6040.56</v>
      </c>
      <c r="I8" s="5">
        <f t="shared" si="1"/>
        <v>3692.1899999999996</v>
      </c>
      <c r="J8" s="1">
        <v>9732.75</v>
      </c>
      <c r="K8" s="17">
        <v>102.6</v>
      </c>
      <c r="L8" s="17">
        <v>7564.73</v>
      </c>
      <c r="M8" s="5">
        <f t="shared" si="2"/>
        <v>4516.68</v>
      </c>
      <c r="N8" s="1">
        <v>12081.41</v>
      </c>
      <c r="O8">
        <v>42.7</v>
      </c>
      <c r="P8" s="17">
        <v>3664.4</v>
      </c>
      <c r="Q8" s="5">
        <f t="shared" si="3"/>
        <v>2174.2099999999996</v>
      </c>
      <c r="R8" s="1">
        <v>5838.61</v>
      </c>
      <c r="S8">
        <v>23900</v>
      </c>
      <c r="T8">
        <v>-338.55</v>
      </c>
      <c r="U8">
        <v>2762.54</v>
      </c>
      <c r="V8" s="17">
        <v>90.79</v>
      </c>
      <c r="W8" s="17">
        <v>2657</v>
      </c>
      <c r="X8" s="17">
        <v>201</v>
      </c>
      <c r="Y8" s="17">
        <v>2578</v>
      </c>
      <c r="Z8" s="17">
        <v>38</v>
      </c>
      <c r="AA8" s="17">
        <v>10</v>
      </c>
      <c r="AB8" s="17">
        <v>7</v>
      </c>
      <c r="AC8" s="17">
        <v>52</v>
      </c>
      <c r="AD8" s="17">
        <v>10</v>
      </c>
      <c r="AE8" s="17">
        <v>7</v>
      </c>
      <c r="AF8" s="17">
        <v>43</v>
      </c>
      <c r="AG8" s="17">
        <v>9</v>
      </c>
      <c r="AH8" s="17">
        <v>0</v>
      </c>
      <c r="AI8" s="17">
        <v>18</v>
      </c>
      <c r="AJ8" s="23">
        <v>0.70790000000000008</v>
      </c>
      <c r="AK8">
        <v>1</v>
      </c>
      <c r="AL8">
        <v>0</v>
      </c>
      <c r="AM8">
        <v>0</v>
      </c>
      <c r="AN8">
        <v>2</v>
      </c>
      <c r="AO8">
        <f t="shared" si="4"/>
        <v>1</v>
      </c>
      <c r="AX8" s="17" t="s">
        <v>57</v>
      </c>
      <c r="AY8" s="17" t="s">
        <v>58</v>
      </c>
      <c r="AZ8" s="18" t="s">
        <v>59</v>
      </c>
      <c r="BA8" s="18" t="s">
        <v>60</v>
      </c>
    </row>
    <row r="9" spans="1:54" ht="16.5">
      <c r="A9" s="24">
        <v>45939</v>
      </c>
      <c r="B9" s="17">
        <v>290.5</v>
      </c>
      <c r="C9" s="1">
        <v>17269.240000000002</v>
      </c>
      <c r="D9" s="1">
        <f>E9-C9</f>
        <v>9448.9399999999987</v>
      </c>
      <c r="E9" s="1">
        <v>26718.18</v>
      </c>
      <c r="F9" s="2">
        <v>4745.6899999999987</v>
      </c>
      <c r="G9" s="17">
        <v>134</v>
      </c>
      <c r="H9">
        <v>7857.84</v>
      </c>
      <c r="I9" s="5">
        <f>J9-H9</f>
        <v>4311.0499999999993</v>
      </c>
      <c r="J9" s="1">
        <v>12168.89</v>
      </c>
      <c r="K9" s="17">
        <v>155.19999999999999</v>
      </c>
      <c r="L9" s="17">
        <v>9294.3799999999992</v>
      </c>
      <c r="M9" s="5">
        <f>N9-L9</f>
        <v>5068.75</v>
      </c>
      <c r="N9" s="1">
        <v>14363.13</v>
      </c>
      <c r="O9">
        <v>71.099999999999994</v>
      </c>
      <c r="P9" s="17">
        <v>4226.91</v>
      </c>
      <c r="Q9" s="5">
        <f>R9-P9</f>
        <v>2355.1900000000005</v>
      </c>
      <c r="R9" s="1">
        <v>6582.1</v>
      </c>
      <c r="S9">
        <v>24500</v>
      </c>
      <c r="T9">
        <v>508.05</v>
      </c>
      <c r="U9">
        <v>3601.65</v>
      </c>
      <c r="V9" s="17">
        <v>189</v>
      </c>
      <c r="W9" s="17">
        <v>3115</v>
      </c>
      <c r="X9" s="17">
        <v>135</v>
      </c>
      <c r="Y9" s="17">
        <v>2186</v>
      </c>
      <c r="Z9" s="17">
        <v>71</v>
      </c>
      <c r="AA9" s="17">
        <v>7</v>
      </c>
      <c r="AB9" s="17">
        <v>3</v>
      </c>
      <c r="AC9" s="17">
        <v>88</v>
      </c>
      <c r="AD9" s="17">
        <v>9</v>
      </c>
      <c r="AE9" s="17">
        <v>4</v>
      </c>
      <c r="AF9" s="17">
        <v>74</v>
      </c>
      <c r="AG9" s="17">
        <v>12</v>
      </c>
      <c r="AH9" s="17">
        <v>2</v>
      </c>
      <c r="AI9" s="17">
        <v>34</v>
      </c>
      <c r="AJ9" s="20">
        <v>0.71430000000000005</v>
      </c>
      <c r="AK9">
        <v>16</v>
      </c>
      <c r="AL9" s="17">
        <v>2</v>
      </c>
      <c r="AM9" s="17">
        <v>0</v>
      </c>
      <c r="AN9" s="17">
        <v>8</v>
      </c>
      <c r="AO9">
        <f t="shared" si="4"/>
        <v>18</v>
      </c>
      <c r="AX9" s="17" t="s">
        <v>12</v>
      </c>
      <c r="AY9" s="17" t="s">
        <v>13</v>
      </c>
      <c r="AZ9" s="18" t="s">
        <v>14</v>
      </c>
      <c r="BA9" s="18" t="s">
        <v>15</v>
      </c>
    </row>
    <row r="10" spans="1:54" ht="16.5">
      <c r="A10" s="24">
        <v>45940</v>
      </c>
      <c r="B10" s="17">
        <v>220.6</v>
      </c>
      <c r="C10" s="1">
        <v>16560.95</v>
      </c>
      <c r="D10" s="1">
        <f t="shared" ref="D10" si="5">E10-C10</f>
        <v>8780.52</v>
      </c>
      <c r="E10" s="1">
        <v>25341.47</v>
      </c>
      <c r="F10" s="2">
        <v>-1376.7099999999991</v>
      </c>
      <c r="G10" s="17">
        <v>94.2</v>
      </c>
      <c r="H10">
        <v>7425.01</v>
      </c>
      <c r="I10" s="5">
        <f t="shared" ref="I10" si="6">J10-H10</f>
        <v>3896.26</v>
      </c>
      <c r="J10" s="1">
        <v>11321.27</v>
      </c>
      <c r="K10" s="17">
        <v>124.5</v>
      </c>
      <c r="L10" s="17">
        <v>9014.39</v>
      </c>
      <c r="M10" s="5">
        <f t="shared" ref="M10" si="7">N10-L10</f>
        <v>4820.5400000000009</v>
      </c>
      <c r="N10" s="1">
        <v>13834.93</v>
      </c>
      <c r="O10">
        <v>50.3</v>
      </c>
      <c r="P10" s="17">
        <v>4034.93</v>
      </c>
      <c r="Q10" s="5">
        <f t="shared" ref="Q10" si="8">R10-P10</f>
        <v>2174.5400000000004</v>
      </c>
      <c r="R10" s="1">
        <v>6209.47</v>
      </c>
      <c r="S10">
        <v>24400</v>
      </c>
      <c r="T10">
        <v>-35.29</v>
      </c>
      <c r="U10">
        <v>3344.78</v>
      </c>
      <c r="V10" s="17">
        <v>21</v>
      </c>
      <c r="W10" s="17">
        <v>2774</v>
      </c>
      <c r="X10" s="17">
        <v>127</v>
      </c>
      <c r="Y10" s="17">
        <v>2536</v>
      </c>
      <c r="Z10">
        <v>56</v>
      </c>
      <c r="AA10" s="17">
        <v>10</v>
      </c>
      <c r="AB10">
        <v>3</v>
      </c>
      <c r="AC10" s="17">
        <v>56</v>
      </c>
      <c r="AD10">
        <v>10</v>
      </c>
      <c r="AE10">
        <v>3</v>
      </c>
      <c r="AF10">
        <v>52</v>
      </c>
      <c r="AG10">
        <v>4</v>
      </c>
      <c r="AH10">
        <v>0</v>
      </c>
      <c r="AI10">
        <v>7</v>
      </c>
      <c r="AJ10" s="23">
        <v>0.66990000000000005</v>
      </c>
      <c r="AK10">
        <v>6</v>
      </c>
      <c r="AL10">
        <v>0</v>
      </c>
      <c r="AM10">
        <v>0</v>
      </c>
      <c r="AN10">
        <v>22</v>
      </c>
      <c r="AO10">
        <f t="shared" si="4"/>
        <v>6</v>
      </c>
      <c r="AX10" s="17" t="s">
        <v>16</v>
      </c>
      <c r="AY10" s="17" t="s">
        <v>17</v>
      </c>
      <c r="AZ10" s="18" t="s">
        <v>18</v>
      </c>
      <c r="BA10" s="18" t="s">
        <v>28</v>
      </c>
    </row>
    <row r="11" spans="1:54" ht="16.5">
      <c r="A11" s="24">
        <v>45943</v>
      </c>
      <c r="B11" s="17">
        <v>403.5</v>
      </c>
      <c r="C11" s="1">
        <v>15906.94</v>
      </c>
      <c r="D11" s="1">
        <f t="shared" ref="D11:D17" si="9">E11-C11</f>
        <v>7834.2800000000007</v>
      </c>
      <c r="E11" s="1">
        <v>23741.22</v>
      </c>
      <c r="F11" s="2">
        <v>-1600.25</v>
      </c>
      <c r="G11" s="17">
        <v>180.8</v>
      </c>
      <c r="H11">
        <v>7270.58</v>
      </c>
      <c r="I11" s="5">
        <f t="shared" ref="I11:I17" si="10">J11-H11</f>
        <v>3583.5599999999995</v>
      </c>
      <c r="J11" s="1">
        <v>10854.14</v>
      </c>
      <c r="K11" s="17">
        <v>219.2</v>
      </c>
      <c r="L11" s="17">
        <v>8509.3700000000008</v>
      </c>
      <c r="M11" s="5">
        <f t="shared" ref="M11:M17" si="11">N11-L11</f>
        <v>4184.0099999999984</v>
      </c>
      <c r="N11" s="1">
        <v>12693.38</v>
      </c>
      <c r="O11">
        <v>92.2</v>
      </c>
      <c r="P11" s="17">
        <v>3918.49</v>
      </c>
      <c r="Q11" s="5">
        <f t="shared" ref="Q11:Q17" si="12">R11-P11</f>
        <v>1861.63</v>
      </c>
      <c r="R11" s="1">
        <v>5780.12</v>
      </c>
      <c r="S11">
        <v>24400</v>
      </c>
      <c r="T11">
        <v>22.4</v>
      </c>
      <c r="U11">
        <v>2270.17</v>
      </c>
      <c r="V11" s="17">
        <v>198.04</v>
      </c>
      <c r="W11" s="17">
        <v>1684</v>
      </c>
      <c r="X11" s="17">
        <v>120</v>
      </c>
      <c r="Y11">
        <v>3634</v>
      </c>
      <c r="Z11">
        <v>38</v>
      </c>
      <c r="AA11" s="17">
        <v>11</v>
      </c>
      <c r="AB11">
        <v>4</v>
      </c>
      <c r="AC11" s="17">
        <v>59</v>
      </c>
      <c r="AD11" s="17">
        <v>12</v>
      </c>
      <c r="AE11" s="17">
        <v>4</v>
      </c>
      <c r="AF11" s="17">
        <v>49</v>
      </c>
      <c r="AG11">
        <v>9</v>
      </c>
      <c r="AH11">
        <v>1</v>
      </c>
      <c r="AI11">
        <v>33</v>
      </c>
      <c r="AJ11" s="23">
        <v>0.76840000000000008</v>
      </c>
      <c r="AK11">
        <v>2</v>
      </c>
      <c r="AL11">
        <v>1</v>
      </c>
      <c r="AM11">
        <v>0</v>
      </c>
      <c r="AN11">
        <v>3</v>
      </c>
      <c r="AO11">
        <f t="shared" si="4"/>
        <v>3</v>
      </c>
      <c r="AX11" s="17" t="s">
        <v>78</v>
      </c>
      <c r="AY11" s="17" t="s">
        <v>79</v>
      </c>
      <c r="AZ11" s="18" t="s">
        <v>80</v>
      </c>
      <c r="BA11" s="18" t="s">
        <v>81</v>
      </c>
    </row>
    <row r="12" spans="1:54" ht="16.5">
      <c r="A12" s="24">
        <v>45944</v>
      </c>
      <c r="B12" s="17">
        <v>225.5</v>
      </c>
      <c r="C12" s="1">
        <v>16815.240000000002</v>
      </c>
      <c r="D12" s="1">
        <f t="shared" si="9"/>
        <v>9150.84</v>
      </c>
      <c r="E12" s="1">
        <v>25966.080000000002</v>
      </c>
      <c r="F12" s="2">
        <v>2224.8600000000006</v>
      </c>
      <c r="G12" s="17">
        <v>105.9</v>
      </c>
      <c r="H12">
        <v>7838.8</v>
      </c>
      <c r="I12" s="5">
        <f t="shared" si="10"/>
        <v>4261.04</v>
      </c>
      <c r="J12" s="1">
        <v>12099.84</v>
      </c>
      <c r="K12" s="17">
        <v>117.7</v>
      </c>
      <c r="L12" s="17">
        <v>8846.48</v>
      </c>
      <c r="M12" s="5">
        <f t="shared" si="11"/>
        <v>3253.3600000000006</v>
      </c>
      <c r="N12" s="1">
        <v>12099.84</v>
      </c>
      <c r="O12">
        <v>48.4</v>
      </c>
      <c r="P12" s="17">
        <v>3947.23</v>
      </c>
      <c r="Q12" s="5">
        <f t="shared" si="12"/>
        <v>2121.15</v>
      </c>
      <c r="R12" s="1">
        <v>6068.38</v>
      </c>
      <c r="S12">
        <v>24500</v>
      </c>
      <c r="T12">
        <v>23.25</v>
      </c>
      <c r="U12">
        <v>1812.44</v>
      </c>
      <c r="V12" s="17">
        <v>86.03</v>
      </c>
      <c r="W12" s="17">
        <v>1734</v>
      </c>
      <c r="X12" s="17">
        <v>148</v>
      </c>
      <c r="Y12">
        <v>3554</v>
      </c>
      <c r="Z12">
        <v>32</v>
      </c>
      <c r="AA12" s="17">
        <v>8</v>
      </c>
      <c r="AB12">
        <v>4</v>
      </c>
      <c r="AC12" s="17">
        <v>37</v>
      </c>
      <c r="AD12" s="17">
        <v>11</v>
      </c>
      <c r="AE12" s="17">
        <v>4</v>
      </c>
      <c r="AF12" s="17">
        <v>35</v>
      </c>
      <c r="AG12">
        <v>2</v>
      </c>
      <c r="AH12">
        <v>0</v>
      </c>
      <c r="AI12">
        <v>9</v>
      </c>
      <c r="AJ12" s="23">
        <v>0.45</v>
      </c>
      <c r="AK12">
        <v>2</v>
      </c>
      <c r="AL12">
        <v>0</v>
      </c>
      <c r="AM12">
        <v>0</v>
      </c>
      <c r="AN12">
        <v>18</v>
      </c>
      <c r="AO12">
        <f t="shared" si="4"/>
        <v>2</v>
      </c>
      <c r="AX12" s="17" t="s">
        <v>82</v>
      </c>
      <c r="AY12" s="17" t="s">
        <v>83</v>
      </c>
      <c r="AZ12" s="18" t="s">
        <v>84</v>
      </c>
      <c r="BA12" s="18" t="s">
        <v>85</v>
      </c>
    </row>
    <row r="13" spans="1:54" ht="16.5">
      <c r="A13" s="24">
        <v>45945</v>
      </c>
      <c r="B13" s="17">
        <v>178.6</v>
      </c>
      <c r="C13" s="1">
        <v>12804.95</v>
      </c>
      <c r="D13" s="1">
        <f t="shared" si="9"/>
        <v>8098.9199999999983</v>
      </c>
      <c r="E13" s="1">
        <v>20903.87</v>
      </c>
      <c r="F13" s="2">
        <v>-5062.2100000000028</v>
      </c>
      <c r="G13" s="17">
        <v>96.7</v>
      </c>
      <c r="H13">
        <v>5979.91</v>
      </c>
      <c r="I13" s="5">
        <f t="shared" si="10"/>
        <v>3635.6100000000006</v>
      </c>
      <c r="J13" s="1">
        <v>9615.52</v>
      </c>
      <c r="K13" s="17">
        <v>80.599999999999994</v>
      </c>
      <c r="L13" s="17">
        <v>6720.19</v>
      </c>
      <c r="M13" s="5">
        <f t="shared" si="11"/>
        <v>4392.87</v>
      </c>
      <c r="N13" s="1">
        <v>11113.06</v>
      </c>
      <c r="O13">
        <v>29.3</v>
      </c>
      <c r="P13" s="17">
        <v>2974.13</v>
      </c>
      <c r="Q13" s="5">
        <f t="shared" si="12"/>
        <v>1943.5999999999995</v>
      </c>
      <c r="R13" s="1">
        <v>4917.7299999999996</v>
      </c>
      <c r="S13">
        <v>24500</v>
      </c>
      <c r="T13">
        <v>23.14</v>
      </c>
      <c r="U13">
        <v>1436.45</v>
      </c>
      <c r="V13" s="17">
        <v>-54.44</v>
      </c>
      <c r="W13" s="17">
        <v>4333</v>
      </c>
      <c r="X13" s="17">
        <v>153</v>
      </c>
      <c r="Y13">
        <v>950</v>
      </c>
      <c r="Z13">
        <v>36</v>
      </c>
      <c r="AA13" s="17">
        <v>8</v>
      </c>
      <c r="AB13">
        <v>5</v>
      </c>
      <c r="AC13" s="17">
        <v>65</v>
      </c>
      <c r="AD13" s="17">
        <v>7</v>
      </c>
      <c r="AE13" s="17">
        <v>3</v>
      </c>
      <c r="AF13" s="17">
        <v>60</v>
      </c>
      <c r="AG13">
        <v>5</v>
      </c>
      <c r="AH13">
        <v>0</v>
      </c>
      <c r="AI13">
        <v>28</v>
      </c>
      <c r="AJ13" s="23">
        <v>0.81189999999999996</v>
      </c>
      <c r="AK13">
        <v>4</v>
      </c>
      <c r="AL13">
        <v>0</v>
      </c>
      <c r="AM13">
        <v>0</v>
      </c>
      <c r="AN13">
        <v>4</v>
      </c>
      <c r="AO13">
        <f t="shared" si="4"/>
        <v>4</v>
      </c>
      <c r="AX13" s="17" t="s">
        <v>90</v>
      </c>
      <c r="AY13" s="17" t="s">
        <v>86</v>
      </c>
      <c r="AZ13" s="18" t="s">
        <v>87</v>
      </c>
      <c r="BA13" s="18" t="s">
        <v>88</v>
      </c>
      <c r="BB13" s="17" t="s">
        <v>89</v>
      </c>
    </row>
    <row r="14" spans="1:54" ht="16.5">
      <c r="A14" s="24">
        <v>45946</v>
      </c>
      <c r="B14" s="17">
        <v>163.1</v>
      </c>
      <c r="C14" s="1">
        <v>12229.11</v>
      </c>
      <c r="D14" s="1">
        <f t="shared" si="9"/>
        <v>7257.48</v>
      </c>
      <c r="E14" s="1">
        <v>19486.59</v>
      </c>
      <c r="F14" s="2">
        <v>-1417.2799999999988</v>
      </c>
      <c r="G14" s="17">
        <v>70.2</v>
      </c>
      <c r="H14">
        <v>5369.24</v>
      </c>
      <c r="I14" s="5">
        <f t="shared" si="10"/>
        <v>3323.41</v>
      </c>
      <c r="J14" s="1">
        <v>8692.65</v>
      </c>
      <c r="K14" s="17">
        <v>91.1</v>
      </c>
      <c r="L14" s="17">
        <v>6752.73</v>
      </c>
      <c r="M14" s="5">
        <f t="shared" si="11"/>
        <v>3866</v>
      </c>
      <c r="N14" s="1">
        <v>10618.73</v>
      </c>
      <c r="O14">
        <v>34.700000000000003</v>
      </c>
      <c r="P14" s="17">
        <v>3060.89</v>
      </c>
      <c r="Q14" s="5">
        <f t="shared" si="12"/>
        <v>1714.7000000000003</v>
      </c>
      <c r="R14" s="1">
        <v>4775.59</v>
      </c>
      <c r="S14">
        <v>24600</v>
      </c>
      <c r="T14">
        <v>76.010000000000005</v>
      </c>
      <c r="U14">
        <v>1355.54</v>
      </c>
      <c r="V14" s="17">
        <v>156.13</v>
      </c>
      <c r="W14" s="17">
        <v>1177</v>
      </c>
      <c r="X14" s="17">
        <v>89</v>
      </c>
      <c r="Y14">
        <v>4171</v>
      </c>
      <c r="Z14">
        <v>34</v>
      </c>
      <c r="AA14" s="17">
        <v>11</v>
      </c>
      <c r="AB14">
        <v>3</v>
      </c>
      <c r="AC14" s="17">
        <v>40</v>
      </c>
      <c r="AD14" s="17">
        <v>12</v>
      </c>
      <c r="AE14" s="17">
        <v>3</v>
      </c>
      <c r="AF14" s="17">
        <v>38</v>
      </c>
      <c r="AG14">
        <v>2</v>
      </c>
      <c r="AH14">
        <v>0</v>
      </c>
      <c r="AI14">
        <v>9</v>
      </c>
      <c r="AJ14" s="23">
        <v>0.65480000000000005</v>
      </c>
      <c r="AK14">
        <v>5</v>
      </c>
      <c r="AL14">
        <v>0</v>
      </c>
      <c r="AM14">
        <v>0</v>
      </c>
      <c r="AN14">
        <v>2</v>
      </c>
      <c r="AO14">
        <f t="shared" si="4"/>
        <v>5</v>
      </c>
      <c r="AT14">
        <v>7</v>
      </c>
      <c r="AU14">
        <v>5</v>
      </c>
      <c r="AV14">
        <v>19</v>
      </c>
      <c r="AW14">
        <v>9</v>
      </c>
      <c r="AX14" s="17" t="s">
        <v>91</v>
      </c>
      <c r="AY14" s="17" t="s">
        <v>92</v>
      </c>
      <c r="AZ14" s="18" t="s">
        <v>93</v>
      </c>
      <c r="BA14" s="18" t="s">
        <v>94</v>
      </c>
    </row>
    <row r="15" spans="1:54" ht="16.5">
      <c r="A15" s="24">
        <v>45947</v>
      </c>
      <c r="B15" s="17">
        <v>142.19999999999999</v>
      </c>
      <c r="C15" s="1">
        <v>11889.59</v>
      </c>
      <c r="D15" s="1">
        <f t="shared" si="9"/>
        <v>7654.4900000000016</v>
      </c>
      <c r="E15" s="1">
        <v>19544.080000000002</v>
      </c>
      <c r="F15" s="2">
        <v>57.490000000001601</v>
      </c>
      <c r="G15" s="17">
        <v>60.9</v>
      </c>
      <c r="H15">
        <v>5298.58</v>
      </c>
      <c r="I15" s="5">
        <f t="shared" si="10"/>
        <v>3433.24</v>
      </c>
      <c r="J15" s="1">
        <v>8731.82</v>
      </c>
      <c r="K15" s="17">
        <v>80.2</v>
      </c>
      <c r="L15" s="17">
        <v>6497.02</v>
      </c>
      <c r="M15" s="5">
        <f t="shared" si="11"/>
        <v>4152.33</v>
      </c>
      <c r="N15" s="1">
        <v>10649.35</v>
      </c>
      <c r="O15">
        <v>27.3</v>
      </c>
      <c r="P15" s="17">
        <v>2794.25</v>
      </c>
      <c r="Q15" s="5">
        <f t="shared" si="12"/>
        <v>1862.5500000000002</v>
      </c>
      <c r="R15" s="1">
        <v>4656.8</v>
      </c>
      <c r="S15">
        <v>24600</v>
      </c>
      <c r="T15">
        <v>76.010000000000005</v>
      </c>
      <c r="U15">
        <v>1530.05</v>
      </c>
      <c r="V15" s="17">
        <v>63.03</v>
      </c>
      <c r="W15" s="17">
        <v>602</v>
      </c>
      <c r="X15" s="17">
        <v>53</v>
      </c>
      <c r="Y15">
        <v>4783</v>
      </c>
      <c r="Z15">
        <v>33</v>
      </c>
      <c r="AA15" s="17">
        <v>8</v>
      </c>
      <c r="AB15">
        <v>4</v>
      </c>
      <c r="AC15" s="17">
        <v>37</v>
      </c>
      <c r="AD15" s="17">
        <v>10</v>
      </c>
      <c r="AE15" s="17">
        <v>4</v>
      </c>
      <c r="AF15" s="17">
        <v>35</v>
      </c>
      <c r="AG15">
        <v>2</v>
      </c>
      <c r="AH15">
        <v>0</v>
      </c>
      <c r="AI15">
        <v>5</v>
      </c>
      <c r="AJ15" s="23">
        <v>0.61970000000000003</v>
      </c>
      <c r="AK15">
        <v>22</v>
      </c>
      <c r="AL15">
        <v>0</v>
      </c>
      <c r="AM15">
        <v>0</v>
      </c>
      <c r="AN15">
        <v>12</v>
      </c>
      <c r="AO15">
        <f t="shared" si="4"/>
        <v>22</v>
      </c>
      <c r="AT15">
        <v>2</v>
      </c>
      <c r="AU15">
        <v>6</v>
      </c>
      <c r="AV15">
        <v>21</v>
      </c>
      <c r="AW15">
        <v>8</v>
      </c>
      <c r="AX15" s="17" t="s">
        <v>95</v>
      </c>
      <c r="AY15" s="17" t="s">
        <v>96</v>
      </c>
      <c r="AZ15" s="18" t="s">
        <v>97</v>
      </c>
      <c r="BA15" s="18" t="s">
        <v>98</v>
      </c>
    </row>
    <row r="16" spans="1:54" ht="16.5">
      <c r="A16" s="24">
        <v>45950</v>
      </c>
      <c r="B16" s="17">
        <v>182.8</v>
      </c>
      <c r="C16" s="1">
        <v>11708.62</v>
      </c>
      <c r="D16" s="1">
        <f t="shared" si="9"/>
        <v>5804.33</v>
      </c>
      <c r="E16" s="1">
        <v>17512.95</v>
      </c>
      <c r="F16" s="2">
        <f t="shared" ref="F16:F17" si="13">E16-E15</f>
        <v>-2031.130000000001</v>
      </c>
      <c r="G16" s="17">
        <v>76.8</v>
      </c>
      <c r="H16">
        <v>5123.62</v>
      </c>
      <c r="I16" s="5">
        <f t="shared" si="10"/>
        <v>2601.41</v>
      </c>
      <c r="J16" s="1">
        <v>7725.03</v>
      </c>
      <c r="K16" s="17">
        <v>105.1</v>
      </c>
      <c r="L16" s="17">
        <v>6506.59</v>
      </c>
      <c r="M16" s="5">
        <f t="shared" si="11"/>
        <v>3144.4300000000003</v>
      </c>
      <c r="N16" s="1">
        <v>9651.02</v>
      </c>
      <c r="O16">
        <v>46</v>
      </c>
      <c r="P16" s="17">
        <v>2980.95</v>
      </c>
      <c r="Q16" s="5">
        <f t="shared" si="12"/>
        <v>1400.0100000000002</v>
      </c>
      <c r="R16" s="1">
        <v>4380.96</v>
      </c>
      <c r="S16">
        <v>24300</v>
      </c>
      <c r="T16">
        <v>-271.93</v>
      </c>
      <c r="U16">
        <v>1098.6600000000001</v>
      </c>
      <c r="V16" s="17">
        <v>-26.44</v>
      </c>
      <c r="W16" s="17">
        <v>4064</v>
      </c>
      <c r="X16" s="17">
        <v>121</v>
      </c>
      <c r="Y16">
        <v>1253</v>
      </c>
      <c r="Z16">
        <v>57</v>
      </c>
      <c r="AA16" s="17">
        <v>9</v>
      </c>
      <c r="AB16">
        <v>5</v>
      </c>
      <c r="AC16" s="17">
        <v>76</v>
      </c>
      <c r="AD16" s="17">
        <v>10</v>
      </c>
      <c r="AE16" s="17">
        <v>5</v>
      </c>
      <c r="AF16" s="17">
        <v>67</v>
      </c>
      <c r="AG16">
        <v>8</v>
      </c>
      <c r="AH16">
        <v>1</v>
      </c>
      <c r="AI16">
        <v>18</v>
      </c>
      <c r="AJ16" s="23">
        <v>0.754</v>
      </c>
      <c r="AK16">
        <v>2</v>
      </c>
      <c r="AL16">
        <v>0</v>
      </c>
      <c r="AM16">
        <v>0</v>
      </c>
      <c r="AN16">
        <v>4</v>
      </c>
      <c r="AO16">
        <f t="shared" si="4"/>
        <v>2</v>
      </c>
      <c r="AT16">
        <v>7</v>
      </c>
      <c r="AU16">
        <v>11</v>
      </c>
      <c r="AV16">
        <v>40</v>
      </c>
      <c r="AW16">
        <v>18</v>
      </c>
      <c r="AX16" s="17" t="s">
        <v>108</v>
      </c>
      <c r="AY16" s="17" t="s">
        <v>109</v>
      </c>
      <c r="AZ16" s="18" t="s">
        <v>110</v>
      </c>
      <c r="BA16" s="18" t="s">
        <v>111</v>
      </c>
    </row>
    <row r="17" spans="1:53" ht="16.5">
      <c r="A17" s="24">
        <v>45951</v>
      </c>
      <c r="B17" s="17">
        <v>134.5</v>
      </c>
      <c r="C17" s="1">
        <v>11631.73</v>
      </c>
      <c r="D17" s="1">
        <f t="shared" si="9"/>
        <v>7295.2000000000007</v>
      </c>
      <c r="E17" s="1">
        <v>18926.93</v>
      </c>
      <c r="F17" s="2">
        <f t="shared" si="13"/>
        <v>1413.9799999999996</v>
      </c>
      <c r="G17" s="17">
        <v>55.4</v>
      </c>
      <c r="H17">
        <v>5093.6000000000004</v>
      </c>
      <c r="I17" s="5">
        <f t="shared" si="10"/>
        <v>3285.7799999999988</v>
      </c>
      <c r="J17" s="1">
        <v>8379.3799999999992</v>
      </c>
      <c r="K17" s="17">
        <v>77.8</v>
      </c>
      <c r="L17" s="17">
        <v>6421.68</v>
      </c>
      <c r="M17" s="5">
        <f t="shared" si="11"/>
        <v>3937.8799999999992</v>
      </c>
      <c r="N17" s="1">
        <v>10359.56</v>
      </c>
      <c r="O17">
        <v>31.8</v>
      </c>
      <c r="P17" s="17">
        <v>2974.02</v>
      </c>
      <c r="Q17" s="5">
        <f t="shared" si="12"/>
        <v>1814.5800000000004</v>
      </c>
      <c r="R17" s="1">
        <v>4788.6000000000004</v>
      </c>
      <c r="S17">
        <v>24300</v>
      </c>
      <c r="T17">
        <v>3.96</v>
      </c>
      <c r="U17">
        <v>1264.9000000000001</v>
      </c>
      <c r="V17" s="17">
        <v>11.71</v>
      </c>
      <c r="W17" s="17">
        <v>4628</v>
      </c>
      <c r="X17" s="17">
        <v>81</v>
      </c>
      <c r="Y17">
        <v>729</v>
      </c>
      <c r="Z17">
        <v>60</v>
      </c>
      <c r="AA17" s="17">
        <v>12</v>
      </c>
      <c r="AB17">
        <v>6</v>
      </c>
      <c r="AC17" s="17">
        <v>78</v>
      </c>
      <c r="AD17" s="17">
        <v>12</v>
      </c>
      <c r="AE17" s="17">
        <v>6</v>
      </c>
      <c r="AF17" s="17">
        <v>68</v>
      </c>
      <c r="AG17">
        <v>8</v>
      </c>
      <c r="AH17">
        <v>2</v>
      </c>
      <c r="AI17">
        <v>20</v>
      </c>
      <c r="AJ17" s="23">
        <v>0.77310000000000001</v>
      </c>
      <c r="AK17">
        <v>3</v>
      </c>
      <c r="AL17">
        <v>0</v>
      </c>
      <c r="AM17">
        <v>0</v>
      </c>
      <c r="AN17">
        <v>0</v>
      </c>
      <c r="AO17">
        <v>3</v>
      </c>
      <c r="AP17">
        <v>5</v>
      </c>
      <c r="AQ17">
        <v>10</v>
      </c>
      <c r="AR17">
        <v>34</v>
      </c>
      <c r="AS17">
        <v>11</v>
      </c>
      <c r="AT17">
        <v>8</v>
      </c>
      <c r="AU17">
        <v>13</v>
      </c>
      <c r="AV17">
        <v>44</v>
      </c>
      <c r="AW17">
        <v>13</v>
      </c>
      <c r="AX17" t="s">
        <v>112</v>
      </c>
      <c r="AY17" s="17" t="s">
        <v>113</v>
      </c>
      <c r="AZ17" s="18" t="s">
        <v>114</v>
      </c>
      <c r="BA17" s="18" t="s">
        <v>115</v>
      </c>
    </row>
    <row r="18" spans="1:53" ht="16.5">
      <c r="D18" s="1">
        <f t="shared" ref="D18:D35" si="14">E18-C18</f>
        <v>0</v>
      </c>
      <c r="F18" s="2">
        <f t="shared" ref="F18:F35" si="15">E18-E17</f>
        <v>-18926.93</v>
      </c>
      <c r="I18" s="5">
        <f t="shared" ref="I18:I35" si="16">J18-H18</f>
        <v>0</v>
      </c>
      <c r="J18" s="1"/>
      <c r="M18" s="5">
        <f t="shared" ref="M18:M35" si="17">N18-L18</f>
        <v>0</v>
      </c>
      <c r="Q18" s="5">
        <f t="shared" ref="Q18:Q35" si="18">R18-P18</f>
        <v>0</v>
      </c>
      <c r="V18" s="17"/>
      <c r="AO18">
        <f t="shared" si="4"/>
        <v>0</v>
      </c>
    </row>
    <row r="19" spans="1:53" ht="16.5">
      <c r="D19" s="1">
        <f t="shared" si="14"/>
        <v>0</v>
      </c>
      <c r="F19" s="2">
        <f t="shared" si="15"/>
        <v>0</v>
      </c>
      <c r="I19" s="5">
        <f t="shared" si="16"/>
        <v>0</v>
      </c>
      <c r="J19" s="1"/>
      <c r="M19" s="5">
        <f t="shared" si="17"/>
        <v>0</v>
      </c>
      <c r="Q19" s="5">
        <f t="shared" si="18"/>
        <v>0</v>
      </c>
      <c r="V19" s="17"/>
      <c r="AO19">
        <f t="shared" si="4"/>
        <v>0</v>
      </c>
    </row>
    <row r="20" spans="1:53" ht="16.5">
      <c r="D20" s="1">
        <f t="shared" si="14"/>
        <v>0</v>
      </c>
      <c r="F20" s="2">
        <f t="shared" si="15"/>
        <v>0</v>
      </c>
      <c r="I20" s="5">
        <f t="shared" si="16"/>
        <v>0</v>
      </c>
      <c r="J20" s="1"/>
      <c r="M20" s="5">
        <f t="shared" si="17"/>
        <v>0</v>
      </c>
      <c r="Q20" s="5">
        <f t="shared" si="18"/>
        <v>0</v>
      </c>
      <c r="V20" s="17"/>
      <c r="AO20">
        <f t="shared" si="4"/>
        <v>0</v>
      </c>
    </row>
    <row r="21" spans="1:53" ht="16.5">
      <c r="D21" s="1">
        <f t="shared" si="14"/>
        <v>0</v>
      </c>
      <c r="F21" s="2">
        <f t="shared" si="15"/>
        <v>0</v>
      </c>
      <c r="I21" s="5">
        <f t="shared" si="16"/>
        <v>0</v>
      </c>
      <c r="J21" s="1"/>
      <c r="M21" s="5">
        <f t="shared" si="17"/>
        <v>0</v>
      </c>
      <c r="Q21" s="5">
        <f t="shared" si="18"/>
        <v>0</v>
      </c>
      <c r="V21" s="17"/>
      <c r="AO21">
        <f t="shared" si="4"/>
        <v>0</v>
      </c>
    </row>
    <row r="22" spans="1:53" ht="16.5">
      <c r="D22" s="1">
        <f t="shared" si="14"/>
        <v>0</v>
      </c>
      <c r="F22" s="2">
        <f t="shared" si="15"/>
        <v>0</v>
      </c>
      <c r="I22" s="5">
        <f t="shared" si="16"/>
        <v>0</v>
      </c>
      <c r="J22" s="1"/>
      <c r="M22" s="5">
        <f t="shared" si="17"/>
        <v>0</v>
      </c>
      <c r="Q22" s="5">
        <f t="shared" si="18"/>
        <v>0</v>
      </c>
      <c r="V22" s="17"/>
      <c r="AO22">
        <f t="shared" si="4"/>
        <v>0</v>
      </c>
    </row>
    <row r="23" spans="1:53" ht="16.5">
      <c r="D23" s="1">
        <f t="shared" si="14"/>
        <v>0</v>
      </c>
      <c r="F23" s="2">
        <f t="shared" si="15"/>
        <v>0</v>
      </c>
      <c r="I23" s="5">
        <f t="shared" si="16"/>
        <v>0</v>
      </c>
      <c r="J23" s="1"/>
      <c r="M23" s="5">
        <f t="shared" si="17"/>
        <v>0</v>
      </c>
      <c r="Q23" s="5">
        <f t="shared" si="18"/>
        <v>0</v>
      </c>
      <c r="V23" s="17"/>
      <c r="AO23">
        <f t="shared" si="4"/>
        <v>0</v>
      </c>
    </row>
    <row r="24" spans="1:53" ht="16.5">
      <c r="D24" s="1">
        <f t="shared" si="14"/>
        <v>0</v>
      </c>
      <c r="F24" s="2">
        <f t="shared" si="15"/>
        <v>0</v>
      </c>
      <c r="I24" s="5">
        <f t="shared" si="16"/>
        <v>0</v>
      </c>
      <c r="J24" s="1"/>
      <c r="M24" s="5">
        <f t="shared" si="17"/>
        <v>0</v>
      </c>
      <c r="Q24" s="5">
        <f t="shared" si="18"/>
        <v>0</v>
      </c>
      <c r="V24" s="17"/>
      <c r="AO24">
        <f t="shared" si="4"/>
        <v>0</v>
      </c>
    </row>
    <row r="25" spans="1:53" ht="16.5">
      <c r="D25" s="1">
        <f t="shared" si="14"/>
        <v>0</v>
      </c>
      <c r="F25" s="2">
        <f t="shared" si="15"/>
        <v>0</v>
      </c>
      <c r="I25" s="5">
        <f t="shared" si="16"/>
        <v>0</v>
      </c>
      <c r="J25" s="1"/>
      <c r="M25" s="5">
        <f t="shared" si="17"/>
        <v>0</v>
      </c>
      <c r="Q25" s="5">
        <f t="shared" si="18"/>
        <v>0</v>
      </c>
      <c r="V25" s="17"/>
      <c r="AO25">
        <f t="shared" si="4"/>
        <v>0</v>
      </c>
    </row>
    <row r="26" spans="1:53" ht="16.5">
      <c r="D26" s="1">
        <f t="shared" si="14"/>
        <v>0</v>
      </c>
      <c r="F26" s="2">
        <f t="shared" si="15"/>
        <v>0</v>
      </c>
      <c r="I26" s="5">
        <f t="shared" si="16"/>
        <v>0</v>
      </c>
      <c r="J26" s="1"/>
      <c r="M26" s="5">
        <f t="shared" si="17"/>
        <v>0</v>
      </c>
      <c r="Q26" s="5">
        <f t="shared" si="18"/>
        <v>0</v>
      </c>
      <c r="V26" s="17"/>
      <c r="AO26">
        <f t="shared" si="4"/>
        <v>0</v>
      </c>
    </row>
    <row r="27" spans="1:53" ht="16.5">
      <c r="D27" s="1">
        <f t="shared" si="14"/>
        <v>0</v>
      </c>
      <c r="F27" s="2">
        <f t="shared" si="15"/>
        <v>0</v>
      </c>
      <c r="I27" s="5">
        <f t="shared" si="16"/>
        <v>0</v>
      </c>
      <c r="J27" s="1"/>
      <c r="M27" s="5">
        <f t="shared" si="17"/>
        <v>0</v>
      </c>
      <c r="Q27" s="5">
        <f t="shared" si="18"/>
        <v>0</v>
      </c>
      <c r="V27" s="17"/>
      <c r="AO27">
        <f t="shared" si="4"/>
        <v>0</v>
      </c>
    </row>
    <row r="28" spans="1:53" ht="16.5">
      <c r="D28" s="1">
        <f t="shared" si="14"/>
        <v>0</v>
      </c>
      <c r="F28" s="2">
        <f t="shared" si="15"/>
        <v>0</v>
      </c>
      <c r="I28" s="5">
        <f t="shared" si="16"/>
        <v>0</v>
      </c>
      <c r="J28" s="1"/>
      <c r="M28" s="5">
        <f t="shared" si="17"/>
        <v>0</v>
      </c>
      <c r="Q28" s="5">
        <f t="shared" si="18"/>
        <v>0</v>
      </c>
      <c r="V28" s="17"/>
      <c r="AO28">
        <f t="shared" si="4"/>
        <v>0</v>
      </c>
    </row>
    <row r="29" spans="1:53" ht="16.5">
      <c r="D29" s="1">
        <f t="shared" si="14"/>
        <v>0</v>
      </c>
      <c r="F29" s="2">
        <f t="shared" si="15"/>
        <v>0</v>
      </c>
      <c r="I29" s="5">
        <f t="shared" si="16"/>
        <v>0</v>
      </c>
      <c r="J29" s="1"/>
      <c r="M29" s="5">
        <f t="shared" si="17"/>
        <v>0</v>
      </c>
      <c r="Q29" s="5">
        <f t="shared" si="18"/>
        <v>0</v>
      </c>
      <c r="V29" s="17"/>
      <c r="AO29">
        <f t="shared" si="4"/>
        <v>0</v>
      </c>
    </row>
    <row r="30" spans="1:53" ht="16.5">
      <c r="D30" s="1">
        <f t="shared" si="14"/>
        <v>0</v>
      </c>
      <c r="F30" s="2">
        <f t="shared" si="15"/>
        <v>0</v>
      </c>
      <c r="I30" s="5">
        <f t="shared" si="16"/>
        <v>0</v>
      </c>
      <c r="J30" s="1"/>
      <c r="M30" s="5">
        <f t="shared" si="17"/>
        <v>0</v>
      </c>
      <c r="Q30" s="5">
        <f t="shared" si="18"/>
        <v>0</v>
      </c>
      <c r="V30" s="17"/>
      <c r="AO30">
        <f t="shared" si="4"/>
        <v>0</v>
      </c>
    </row>
    <row r="31" spans="1:53" ht="16.5">
      <c r="D31" s="1">
        <f t="shared" si="14"/>
        <v>0</v>
      </c>
      <c r="F31" s="2">
        <f t="shared" si="15"/>
        <v>0</v>
      </c>
      <c r="I31" s="5">
        <f t="shared" si="16"/>
        <v>0</v>
      </c>
      <c r="J31" s="1"/>
      <c r="M31" s="5">
        <f t="shared" si="17"/>
        <v>0</v>
      </c>
      <c r="Q31" s="5">
        <f t="shared" si="18"/>
        <v>0</v>
      </c>
      <c r="V31" s="17"/>
      <c r="AO31">
        <f t="shared" si="4"/>
        <v>0</v>
      </c>
    </row>
    <row r="32" spans="1:53" ht="16.5">
      <c r="D32" s="1">
        <f t="shared" si="14"/>
        <v>0</v>
      </c>
      <c r="F32" s="2">
        <f t="shared" si="15"/>
        <v>0</v>
      </c>
      <c r="I32" s="5">
        <f t="shared" si="16"/>
        <v>0</v>
      </c>
      <c r="J32" s="1"/>
      <c r="M32" s="5">
        <f t="shared" si="17"/>
        <v>0</v>
      </c>
      <c r="Q32" s="5">
        <f t="shared" si="18"/>
        <v>0</v>
      </c>
      <c r="V32" s="17"/>
      <c r="AO32">
        <f t="shared" si="4"/>
        <v>0</v>
      </c>
    </row>
    <row r="33" spans="4:41" ht="16.5">
      <c r="D33" s="1">
        <f t="shared" si="14"/>
        <v>0</v>
      </c>
      <c r="F33" s="2">
        <f t="shared" si="15"/>
        <v>0</v>
      </c>
      <c r="I33" s="5">
        <f t="shared" si="16"/>
        <v>0</v>
      </c>
      <c r="J33" s="1"/>
      <c r="M33" s="5">
        <f t="shared" si="17"/>
        <v>0</v>
      </c>
      <c r="Q33" s="5">
        <f t="shared" si="18"/>
        <v>0</v>
      </c>
      <c r="V33" s="17"/>
      <c r="AO33">
        <f t="shared" si="4"/>
        <v>0</v>
      </c>
    </row>
    <row r="34" spans="4:41" ht="16.5">
      <c r="D34" s="1">
        <f t="shared" si="14"/>
        <v>0</v>
      </c>
      <c r="F34" s="2">
        <f t="shared" si="15"/>
        <v>0</v>
      </c>
      <c r="I34" s="5">
        <f t="shared" si="16"/>
        <v>0</v>
      </c>
      <c r="J34" s="1"/>
      <c r="M34" s="5">
        <f t="shared" si="17"/>
        <v>0</v>
      </c>
      <c r="Q34" s="5">
        <f t="shared" si="18"/>
        <v>0</v>
      </c>
      <c r="V34" s="17"/>
      <c r="AO34">
        <f t="shared" si="4"/>
        <v>0</v>
      </c>
    </row>
    <row r="35" spans="4:41" ht="16.5">
      <c r="D35" s="1">
        <f t="shared" si="14"/>
        <v>0</v>
      </c>
      <c r="F35" s="2">
        <f t="shared" si="15"/>
        <v>0</v>
      </c>
      <c r="I35" s="5">
        <f t="shared" si="16"/>
        <v>0</v>
      </c>
      <c r="J35" s="1"/>
      <c r="M35" s="5">
        <f t="shared" si="17"/>
        <v>0</v>
      </c>
      <c r="Q35" s="5">
        <f t="shared" si="18"/>
        <v>0</v>
      </c>
      <c r="V35" s="17"/>
      <c r="AO35">
        <f t="shared" si="4"/>
        <v>0</v>
      </c>
    </row>
    <row r="36" spans="4:41" ht="16.5">
      <c r="D36" s="1">
        <f t="shared" ref="D36:D56" si="19">E36-C36</f>
        <v>0</v>
      </c>
      <c r="F36" s="2">
        <f t="shared" ref="F36:F56" si="20">E36-E35</f>
        <v>0</v>
      </c>
      <c r="I36" s="5">
        <f t="shared" ref="I36:I56" si="21">J36-H36</f>
        <v>0</v>
      </c>
      <c r="J36" s="1"/>
      <c r="M36" s="5">
        <f t="shared" ref="M36:M56" si="22">N36-L36</f>
        <v>0</v>
      </c>
      <c r="Q36" s="5">
        <f t="shared" ref="Q36:Q56" si="23">R36-P36</f>
        <v>0</v>
      </c>
      <c r="V36" s="17"/>
      <c r="AO36">
        <f t="shared" si="4"/>
        <v>0</v>
      </c>
    </row>
    <row r="37" spans="4:41" ht="16.5">
      <c r="D37" s="1">
        <f t="shared" si="19"/>
        <v>0</v>
      </c>
      <c r="F37" s="2">
        <f t="shared" si="20"/>
        <v>0</v>
      </c>
      <c r="I37" s="5">
        <f t="shared" si="21"/>
        <v>0</v>
      </c>
      <c r="J37" s="1"/>
      <c r="M37" s="5">
        <f t="shared" si="22"/>
        <v>0</v>
      </c>
      <c r="Q37" s="5">
        <f t="shared" si="23"/>
        <v>0</v>
      </c>
      <c r="V37" s="17"/>
      <c r="AO37">
        <f t="shared" si="4"/>
        <v>0</v>
      </c>
    </row>
    <row r="38" spans="4:41" ht="16.5">
      <c r="D38" s="1">
        <f t="shared" si="19"/>
        <v>0</v>
      </c>
      <c r="F38" s="2">
        <f t="shared" si="20"/>
        <v>0</v>
      </c>
      <c r="I38" s="5">
        <f t="shared" si="21"/>
        <v>0</v>
      </c>
      <c r="J38" s="1"/>
      <c r="M38" s="5">
        <f t="shared" si="22"/>
        <v>0</v>
      </c>
      <c r="Q38" s="5">
        <f t="shared" si="23"/>
        <v>0</v>
      </c>
      <c r="V38" s="17"/>
      <c r="AO38">
        <f t="shared" si="4"/>
        <v>0</v>
      </c>
    </row>
    <row r="39" spans="4:41" ht="16.5">
      <c r="D39" s="1">
        <f t="shared" si="19"/>
        <v>0</v>
      </c>
      <c r="F39" s="2">
        <f t="shared" si="20"/>
        <v>0</v>
      </c>
      <c r="I39" s="5">
        <f t="shared" si="21"/>
        <v>0</v>
      </c>
      <c r="J39" s="1"/>
      <c r="M39" s="5">
        <f t="shared" si="22"/>
        <v>0</v>
      </c>
      <c r="Q39" s="5">
        <f t="shared" si="23"/>
        <v>0</v>
      </c>
      <c r="V39" s="17"/>
      <c r="AO39">
        <f t="shared" si="4"/>
        <v>0</v>
      </c>
    </row>
    <row r="40" spans="4:41" ht="16.5">
      <c r="D40" s="1">
        <f t="shared" si="19"/>
        <v>0</v>
      </c>
      <c r="F40" s="2">
        <f t="shared" si="20"/>
        <v>0</v>
      </c>
      <c r="I40" s="5">
        <f t="shared" si="21"/>
        <v>0</v>
      </c>
      <c r="J40" s="1"/>
      <c r="M40" s="5">
        <f t="shared" si="22"/>
        <v>0</v>
      </c>
      <c r="Q40" s="5">
        <f t="shared" si="23"/>
        <v>0</v>
      </c>
      <c r="V40" s="17"/>
      <c r="AO40">
        <f t="shared" si="4"/>
        <v>0</v>
      </c>
    </row>
    <row r="41" spans="4:41" ht="16.5">
      <c r="D41" s="1">
        <f t="shared" si="19"/>
        <v>0</v>
      </c>
      <c r="F41" s="2">
        <f t="shared" si="20"/>
        <v>0</v>
      </c>
      <c r="I41" s="5">
        <f t="shared" si="21"/>
        <v>0</v>
      </c>
      <c r="J41" s="1"/>
      <c r="M41" s="5">
        <f t="shared" si="22"/>
        <v>0</v>
      </c>
      <c r="Q41" s="5">
        <f t="shared" si="23"/>
        <v>0</v>
      </c>
      <c r="V41" s="17"/>
      <c r="AO41">
        <f t="shared" si="4"/>
        <v>0</v>
      </c>
    </row>
    <row r="42" spans="4:41" ht="16.5">
      <c r="D42" s="1">
        <f t="shared" si="19"/>
        <v>0</v>
      </c>
      <c r="F42" s="2">
        <f t="shared" si="20"/>
        <v>0</v>
      </c>
      <c r="I42" s="5">
        <f t="shared" si="21"/>
        <v>0</v>
      </c>
      <c r="J42" s="1"/>
      <c r="M42" s="5">
        <f t="shared" si="22"/>
        <v>0</v>
      </c>
      <c r="Q42" s="5">
        <f t="shared" si="23"/>
        <v>0</v>
      </c>
      <c r="V42" s="17"/>
      <c r="AO42">
        <f t="shared" si="4"/>
        <v>0</v>
      </c>
    </row>
    <row r="43" spans="4:41" ht="16.5">
      <c r="D43" s="1">
        <f t="shared" si="19"/>
        <v>0</v>
      </c>
      <c r="F43" s="2">
        <f t="shared" si="20"/>
        <v>0</v>
      </c>
      <c r="I43" s="5">
        <f t="shared" si="21"/>
        <v>0</v>
      </c>
      <c r="J43" s="1"/>
      <c r="M43" s="5">
        <f t="shared" si="22"/>
        <v>0</v>
      </c>
      <c r="Q43" s="5">
        <f t="shared" si="23"/>
        <v>0</v>
      </c>
      <c r="V43" s="17"/>
      <c r="AO43">
        <f t="shared" si="4"/>
        <v>0</v>
      </c>
    </row>
    <row r="44" spans="4:41" ht="16.5">
      <c r="D44" s="1">
        <f t="shared" si="19"/>
        <v>0</v>
      </c>
      <c r="F44" s="2">
        <f t="shared" si="20"/>
        <v>0</v>
      </c>
      <c r="I44" s="5">
        <f t="shared" si="21"/>
        <v>0</v>
      </c>
      <c r="J44" s="1"/>
      <c r="M44" s="5">
        <f t="shared" si="22"/>
        <v>0</v>
      </c>
      <c r="Q44" s="5">
        <f t="shared" si="23"/>
        <v>0</v>
      </c>
      <c r="V44" s="17"/>
      <c r="AO44">
        <f t="shared" si="4"/>
        <v>0</v>
      </c>
    </row>
    <row r="45" spans="4:41" ht="16.5">
      <c r="D45" s="1">
        <f t="shared" si="19"/>
        <v>0</v>
      </c>
      <c r="F45" s="2">
        <f t="shared" si="20"/>
        <v>0</v>
      </c>
      <c r="I45" s="5">
        <f t="shared" si="21"/>
        <v>0</v>
      </c>
      <c r="J45" s="1"/>
      <c r="M45" s="5">
        <f t="shared" si="22"/>
        <v>0</v>
      </c>
      <c r="Q45" s="5">
        <f t="shared" si="23"/>
        <v>0</v>
      </c>
      <c r="V45" s="17"/>
      <c r="AO45">
        <f t="shared" si="4"/>
        <v>0</v>
      </c>
    </row>
    <row r="46" spans="4:41" ht="16.5">
      <c r="D46" s="1">
        <f t="shared" si="19"/>
        <v>0</v>
      </c>
      <c r="F46" s="2">
        <f t="shared" si="20"/>
        <v>0</v>
      </c>
      <c r="I46" s="5">
        <f t="shared" si="21"/>
        <v>0</v>
      </c>
      <c r="J46" s="1"/>
      <c r="M46" s="5">
        <f t="shared" si="22"/>
        <v>0</v>
      </c>
      <c r="Q46" s="5">
        <f t="shared" si="23"/>
        <v>0</v>
      </c>
      <c r="V46" s="17"/>
      <c r="AO46">
        <f t="shared" si="4"/>
        <v>0</v>
      </c>
    </row>
    <row r="47" spans="4:41" ht="16.5">
      <c r="D47" s="1">
        <f t="shared" si="19"/>
        <v>0</v>
      </c>
      <c r="F47" s="2">
        <f t="shared" si="20"/>
        <v>0</v>
      </c>
      <c r="I47" s="5">
        <f t="shared" si="21"/>
        <v>0</v>
      </c>
      <c r="J47" s="1"/>
      <c r="M47" s="5">
        <f t="shared" si="22"/>
        <v>0</v>
      </c>
      <c r="Q47" s="5">
        <f t="shared" si="23"/>
        <v>0</v>
      </c>
      <c r="V47" s="17"/>
      <c r="AO47">
        <f t="shared" si="4"/>
        <v>0</v>
      </c>
    </row>
    <row r="48" spans="4:41" ht="16.5">
      <c r="D48" s="1">
        <f t="shared" si="19"/>
        <v>0</v>
      </c>
      <c r="F48" s="2">
        <f t="shared" si="20"/>
        <v>0</v>
      </c>
      <c r="I48" s="5">
        <f t="shared" si="21"/>
        <v>0</v>
      </c>
      <c r="J48" s="1"/>
      <c r="M48" s="5">
        <f t="shared" si="22"/>
        <v>0</v>
      </c>
      <c r="Q48" s="5">
        <f t="shared" si="23"/>
        <v>0</v>
      </c>
      <c r="V48" s="17"/>
      <c r="AO48">
        <f t="shared" si="4"/>
        <v>0</v>
      </c>
    </row>
    <row r="49" spans="4:41" ht="16.5">
      <c r="D49" s="1">
        <f t="shared" si="19"/>
        <v>0</v>
      </c>
      <c r="F49" s="2">
        <f t="shared" si="20"/>
        <v>0</v>
      </c>
      <c r="I49" s="5">
        <f t="shared" si="21"/>
        <v>0</v>
      </c>
      <c r="J49" s="1"/>
      <c r="M49" s="5">
        <f t="shared" si="22"/>
        <v>0</v>
      </c>
      <c r="Q49" s="5">
        <f t="shared" si="23"/>
        <v>0</v>
      </c>
      <c r="V49" s="17"/>
      <c r="AO49">
        <f t="shared" si="4"/>
        <v>0</v>
      </c>
    </row>
    <row r="50" spans="4:41" ht="16.5">
      <c r="D50" s="1">
        <f t="shared" si="19"/>
        <v>0</v>
      </c>
      <c r="F50" s="2">
        <f t="shared" si="20"/>
        <v>0</v>
      </c>
      <c r="I50" s="5">
        <f t="shared" si="21"/>
        <v>0</v>
      </c>
      <c r="J50" s="1"/>
      <c r="M50" s="5">
        <f t="shared" si="22"/>
        <v>0</v>
      </c>
      <c r="Q50" s="5">
        <f t="shared" si="23"/>
        <v>0</v>
      </c>
      <c r="V50" s="17"/>
      <c r="AO50">
        <f t="shared" si="4"/>
        <v>0</v>
      </c>
    </row>
    <row r="51" spans="4:41" ht="16.5">
      <c r="D51" s="1">
        <f t="shared" si="19"/>
        <v>0</v>
      </c>
      <c r="F51" s="2">
        <f t="shared" si="20"/>
        <v>0</v>
      </c>
      <c r="I51" s="5">
        <f t="shared" si="21"/>
        <v>0</v>
      </c>
      <c r="J51" s="1"/>
      <c r="M51" s="5">
        <f t="shared" si="22"/>
        <v>0</v>
      </c>
      <c r="Q51" s="5">
        <f t="shared" si="23"/>
        <v>0</v>
      </c>
      <c r="V51" s="17"/>
      <c r="AO51">
        <f t="shared" si="4"/>
        <v>0</v>
      </c>
    </row>
    <row r="52" spans="4:41" ht="16.5">
      <c r="D52" s="1">
        <f t="shared" si="19"/>
        <v>0</v>
      </c>
      <c r="F52" s="2">
        <f t="shared" si="20"/>
        <v>0</v>
      </c>
      <c r="I52" s="5">
        <f t="shared" si="21"/>
        <v>0</v>
      </c>
      <c r="J52" s="1"/>
      <c r="M52" s="5">
        <f t="shared" si="22"/>
        <v>0</v>
      </c>
      <c r="Q52" s="5">
        <f t="shared" si="23"/>
        <v>0</v>
      </c>
      <c r="V52" s="17"/>
      <c r="AO52">
        <f t="shared" si="4"/>
        <v>0</v>
      </c>
    </row>
    <row r="53" spans="4:41" ht="16.5">
      <c r="D53" s="1">
        <f t="shared" si="19"/>
        <v>0</v>
      </c>
      <c r="F53" s="2">
        <f t="shared" si="20"/>
        <v>0</v>
      </c>
      <c r="I53" s="5">
        <f t="shared" si="21"/>
        <v>0</v>
      </c>
      <c r="J53" s="1"/>
      <c r="M53" s="5">
        <f t="shared" si="22"/>
        <v>0</v>
      </c>
      <c r="Q53" s="5">
        <f t="shared" si="23"/>
        <v>0</v>
      </c>
      <c r="V53" s="17"/>
      <c r="AO53">
        <f t="shared" si="4"/>
        <v>0</v>
      </c>
    </row>
    <row r="54" spans="4:41" ht="16.5">
      <c r="D54" s="1">
        <f t="shared" si="19"/>
        <v>0</v>
      </c>
      <c r="F54" s="2">
        <f t="shared" si="20"/>
        <v>0</v>
      </c>
      <c r="I54" s="5">
        <f t="shared" si="21"/>
        <v>0</v>
      </c>
      <c r="J54" s="1"/>
      <c r="M54" s="5">
        <f t="shared" si="22"/>
        <v>0</v>
      </c>
      <c r="Q54" s="5">
        <f t="shared" si="23"/>
        <v>0</v>
      </c>
      <c r="V54" s="17"/>
      <c r="AO54">
        <f t="shared" si="4"/>
        <v>0</v>
      </c>
    </row>
    <row r="55" spans="4:41" ht="16.5">
      <c r="D55" s="1">
        <f t="shared" si="19"/>
        <v>0</v>
      </c>
      <c r="F55" s="2">
        <f t="shared" si="20"/>
        <v>0</v>
      </c>
      <c r="I55" s="5">
        <f t="shared" si="21"/>
        <v>0</v>
      </c>
      <c r="J55" s="1"/>
      <c r="M55" s="5">
        <f t="shared" si="22"/>
        <v>0</v>
      </c>
      <c r="Q55" s="5">
        <f t="shared" si="23"/>
        <v>0</v>
      </c>
      <c r="V55" s="17"/>
      <c r="AO55">
        <f t="shared" si="4"/>
        <v>0</v>
      </c>
    </row>
    <row r="56" spans="4:41" ht="16.5">
      <c r="D56" s="1">
        <f t="shared" si="19"/>
        <v>0</v>
      </c>
      <c r="F56" s="2">
        <f t="shared" si="20"/>
        <v>0</v>
      </c>
      <c r="I56" s="5">
        <f t="shared" si="21"/>
        <v>0</v>
      </c>
      <c r="J56" s="1"/>
      <c r="M56" s="5">
        <f t="shared" si="22"/>
        <v>0</v>
      </c>
      <c r="Q56" s="5">
        <f t="shared" si="23"/>
        <v>0</v>
      </c>
      <c r="V56" s="17"/>
      <c r="AO56">
        <f t="shared" si="4"/>
        <v>0</v>
      </c>
    </row>
    <row r="57" spans="4:41" ht="16.5">
      <c r="D57" s="1">
        <f t="shared" ref="D57:D74" si="24">E57-C57</f>
        <v>0</v>
      </c>
      <c r="F57" s="2">
        <f t="shared" ref="F57:F74" si="25">E57-E56</f>
        <v>0</v>
      </c>
      <c r="I57" s="5">
        <f t="shared" ref="I57:I74" si="26">J57-H57</f>
        <v>0</v>
      </c>
      <c r="J57" s="1"/>
      <c r="M57" s="5">
        <f t="shared" ref="M57:M74" si="27">N57-L57</f>
        <v>0</v>
      </c>
      <c r="Q57" s="5">
        <f t="shared" ref="Q57:Q74" si="28">R57-P57</f>
        <v>0</v>
      </c>
      <c r="V57" s="17"/>
      <c r="AO57">
        <f t="shared" si="4"/>
        <v>0</v>
      </c>
    </row>
    <row r="58" spans="4:41" ht="16.5">
      <c r="D58" s="1">
        <f t="shared" si="24"/>
        <v>0</v>
      </c>
      <c r="F58" s="2">
        <f t="shared" si="25"/>
        <v>0</v>
      </c>
      <c r="I58" s="5">
        <f t="shared" si="26"/>
        <v>0</v>
      </c>
      <c r="J58" s="1"/>
      <c r="M58" s="5">
        <f t="shared" si="27"/>
        <v>0</v>
      </c>
      <c r="Q58" s="5">
        <f t="shared" si="28"/>
        <v>0</v>
      </c>
      <c r="V58" s="17"/>
      <c r="AO58">
        <f t="shared" si="4"/>
        <v>0</v>
      </c>
    </row>
    <row r="59" spans="4:41" ht="16.5">
      <c r="D59" s="1">
        <f t="shared" si="24"/>
        <v>0</v>
      </c>
      <c r="F59" s="2">
        <f t="shared" si="25"/>
        <v>0</v>
      </c>
      <c r="I59" s="5">
        <f t="shared" si="26"/>
        <v>0</v>
      </c>
      <c r="J59" s="1"/>
      <c r="M59" s="5">
        <f t="shared" si="27"/>
        <v>0</v>
      </c>
      <c r="Q59" s="5">
        <f t="shared" si="28"/>
        <v>0</v>
      </c>
      <c r="V59" s="17"/>
      <c r="AO59">
        <f t="shared" si="4"/>
        <v>0</v>
      </c>
    </row>
    <row r="60" spans="4:41" ht="16.5">
      <c r="D60" s="1">
        <f t="shared" si="24"/>
        <v>0</v>
      </c>
      <c r="F60" s="2">
        <f t="shared" si="25"/>
        <v>0</v>
      </c>
      <c r="I60" s="5">
        <f t="shared" si="26"/>
        <v>0</v>
      </c>
      <c r="J60" s="1"/>
      <c r="M60" s="5">
        <f t="shared" si="27"/>
        <v>0</v>
      </c>
      <c r="Q60" s="5">
        <f t="shared" si="28"/>
        <v>0</v>
      </c>
      <c r="V60" s="17"/>
      <c r="AO60">
        <f t="shared" si="4"/>
        <v>0</v>
      </c>
    </row>
    <row r="61" spans="4:41" ht="16.5">
      <c r="D61" s="1">
        <f t="shared" si="24"/>
        <v>0</v>
      </c>
      <c r="F61" s="2">
        <f t="shared" si="25"/>
        <v>0</v>
      </c>
      <c r="I61" s="5">
        <f t="shared" si="26"/>
        <v>0</v>
      </c>
      <c r="J61" s="1"/>
      <c r="M61" s="5">
        <f t="shared" si="27"/>
        <v>0</v>
      </c>
      <c r="Q61" s="5">
        <f t="shared" si="28"/>
        <v>0</v>
      </c>
      <c r="V61" s="17"/>
      <c r="AO61">
        <f t="shared" si="4"/>
        <v>0</v>
      </c>
    </row>
    <row r="62" spans="4:41" ht="16.5">
      <c r="D62" s="1">
        <f t="shared" si="24"/>
        <v>0</v>
      </c>
      <c r="F62" s="2">
        <f t="shared" si="25"/>
        <v>0</v>
      </c>
      <c r="I62" s="5">
        <f t="shared" si="26"/>
        <v>0</v>
      </c>
      <c r="J62" s="1"/>
      <c r="M62" s="5">
        <f t="shared" si="27"/>
        <v>0</v>
      </c>
      <c r="Q62" s="5">
        <f t="shared" si="28"/>
        <v>0</v>
      </c>
      <c r="V62" s="17"/>
      <c r="AO62">
        <f t="shared" si="4"/>
        <v>0</v>
      </c>
    </row>
    <row r="63" spans="4:41" ht="16.5">
      <c r="D63" s="1">
        <f t="shared" si="24"/>
        <v>0</v>
      </c>
      <c r="F63" s="2">
        <f t="shared" si="25"/>
        <v>0</v>
      </c>
      <c r="I63" s="5">
        <f t="shared" si="26"/>
        <v>0</v>
      </c>
      <c r="J63" s="1"/>
      <c r="M63" s="5">
        <f t="shared" si="27"/>
        <v>0</v>
      </c>
      <c r="Q63" s="5">
        <f t="shared" si="28"/>
        <v>0</v>
      </c>
      <c r="V63" s="17"/>
      <c r="AO63">
        <f t="shared" si="4"/>
        <v>0</v>
      </c>
    </row>
    <row r="64" spans="4:41" ht="16.5">
      <c r="D64" s="1">
        <f t="shared" si="24"/>
        <v>0</v>
      </c>
      <c r="F64" s="2">
        <f t="shared" si="25"/>
        <v>0</v>
      </c>
      <c r="I64" s="5">
        <f t="shared" si="26"/>
        <v>0</v>
      </c>
      <c r="J64" s="1"/>
      <c r="M64" s="5">
        <f t="shared" si="27"/>
        <v>0</v>
      </c>
      <c r="Q64" s="5">
        <f t="shared" si="28"/>
        <v>0</v>
      </c>
      <c r="V64" s="17"/>
      <c r="AO64">
        <f t="shared" si="4"/>
        <v>0</v>
      </c>
    </row>
    <row r="65" spans="4:41" ht="16.5">
      <c r="D65" s="1">
        <f t="shared" si="24"/>
        <v>0</v>
      </c>
      <c r="F65" s="2">
        <f t="shared" si="25"/>
        <v>0</v>
      </c>
      <c r="I65" s="5">
        <f t="shared" si="26"/>
        <v>0</v>
      </c>
      <c r="J65" s="1"/>
      <c r="M65" s="5">
        <f t="shared" si="27"/>
        <v>0</v>
      </c>
      <c r="Q65" s="5">
        <f t="shared" si="28"/>
        <v>0</v>
      </c>
      <c r="V65" s="17"/>
      <c r="AO65">
        <f t="shared" si="4"/>
        <v>0</v>
      </c>
    </row>
    <row r="66" spans="4:41" ht="16.5">
      <c r="D66" s="1">
        <f t="shared" si="24"/>
        <v>0</v>
      </c>
      <c r="F66" s="2">
        <f t="shared" si="25"/>
        <v>0</v>
      </c>
      <c r="I66" s="5">
        <f t="shared" si="26"/>
        <v>0</v>
      </c>
      <c r="J66" s="1"/>
      <c r="M66" s="5">
        <f t="shared" si="27"/>
        <v>0</v>
      </c>
      <c r="Q66" s="5">
        <f t="shared" si="28"/>
        <v>0</v>
      </c>
      <c r="V66" s="17"/>
      <c r="AO66">
        <f t="shared" si="4"/>
        <v>0</v>
      </c>
    </row>
    <row r="67" spans="4:41" ht="16.5">
      <c r="D67" s="1">
        <f t="shared" si="24"/>
        <v>0</v>
      </c>
      <c r="F67" s="2">
        <f t="shared" si="25"/>
        <v>0</v>
      </c>
      <c r="I67" s="5">
        <f t="shared" si="26"/>
        <v>0</v>
      </c>
      <c r="J67" s="1"/>
      <c r="M67" s="5">
        <f t="shared" si="27"/>
        <v>0</v>
      </c>
      <c r="Q67" s="5">
        <f t="shared" si="28"/>
        <v>0</v>
      </c>
      <c r="V67" s="17"/>
      <c r="AO67">
        <f t="shared" ref="AO67:AO75" si="29">AK67+AL67+AM67</f>
        <v>0</v>
      </c>
    </row>
    <row r="68" spans="4:41" ht="16.5">
      <c r="D68" s="1">
        <f t="shared" si="24"/>
        <v>0</v>
      </c>
      <c r="F68" s="2">
        <f t="shared" si="25"/>
        <v>0</v>
      </c>
      <c r="I68" s="5">
        <f t="shared" si="26"/>
        <v>0</v>
      </c>
      <c r="J68" s="1"/>
      <c r="M68" s="5">
        <f t="shared" si="27"/>
        <v>0</v>
      </c>
      <c r="Q68" s="5">
        <f t="shared" si="28"/>
        <v>0</v>
      </c>
      <c r="V68" s="17"/>
      <c r="AO68">
        <f t="shared" si="29"/>
        <v>0</v>
      </c>
    </row>
    <row r="69" spans="4:41" ht="16.5">
      <c r="D69" s="1">
        <f t="shared" si="24"/>
        <v>0</v>
      </c>
      <c r="F69" s="2">
        <f t="shared" si="25"/>
        <v>0</v>
      </c>
      <c r="I69" s="5">
        <f t="shared" si="26"/>
        <v>0</v>
      </c>
      <c r="J69" s="1"/>
      <c r="M69" s="5">
        <f t="shared" si="27"/>
        <v>0</v>
      </c>
      <c r="Q69" s="5">
        <f t="shared" si="28"/>
        <v>0</v>
      </c>
      <c r="V69" s="17"/>
      <c r="AO69">
        <f t="shared" si="29"/>
        <v>0</v>
      </c>
    </row>
    <row r="70" spans="4:41" ht="16.5">
      <c r="D70" s="1">
        <f t="shared" si="24"/>
        <v>0</v>
      </c>
      <c r="F70" s="2">
        <f t="shared" si="25"/>
        <v>0</v>
      </c>
      <c r="I70" s="5">
        <f t="shared" si="26"/>
        <v>0</v>
      </c>
      <c r="J70" s="1"/>
      <c r="M70" s="5">
        <f t="shared" si="27"/>
        <v>0</v>
      </c>
      <c r="Q70" s="5">
        <f t="shared" si="28"/>
        <v>0</v>
      </c>
      <c r="V70" s="17"/>
      <c r="AO70">
        <f t="shared" si="29"/>
        <v>0</v>
      </c>
    </row>
    <row r="71" spans="4:41" ht="16.5">
      <c r="D71" s="1">
        <f t="shared" si="24"/>
        <v>0</v>
      </c>
      <c r="F71" s="2">
        <f t="shared" si="25"/>
        <v>0</v>
      </c>
      <c r="I71" s="5">
        <f t="shared" si="26"/>
        <v>0</v>
      </c>
      <c r="J71" s="1"/>
      <c r="M71" s="5">
        <f t="shared" si="27"/>
        <v>0</v>
      </c>
      <c r="Q71" s="5">
        <f t="shared" si="28"/>
        <v>0</v>
      </c>
      <c r="V71" s="17"/>
      <c r="AO71">
        <f t="shared" si="29"/>
        <v>0</v>
      </c>
    </row>
    <row r="72" spans="4:41" ht="16.5">
      <c r="D72" s="1">
        <f t="shared" si="24"/>
        <v>0</v>
      </c>
      <c r="F72" s="2">
        <f t="shared" si="25"/>
        <v>0</v>
      </c>
      <c r="I72" s="5">
        <f t="shared" si="26"/>
        <v>0</v>
      </c>
      <c r="J72" s="1"/>
      <c r="M72" s="5">
        <f t="shared" si="27"/>
        <v>0</v>
      </c>
      <c r="Q72" s="5">
        <f t="shared" si="28"/>
        <v>0</v>
      </c>
      <c r="V72" s="17"/>
      <c r="AO72">
        <f t="shared" si="29"/>
        <v>0</v>
      </c>
    </row>
    <row r="73" spans="4:41" ht="16.5">
      <c r="D73" s="1">
        <f t="shared" si="24"/>
        <v>0</v>
      </c>
      <c r="F73" s="2">
        <f t="shared" si="25"/>
        <v>0</v>
      </c>
      <c r="I73" s="5">
        <f t="shared" si="26"/>
        <v>0</v>
      </c>
      <c r="J73" s="1"/>
      <c r="M73" s="5">
        <f t="shared" si="27"/>
        <v>0</v>
      </c>
      <c r="Q73" s="5">
        <f t="shared" si="28"/>
        <v>0</v>
      </c>
      <c r="V73" s="17"/>
      <c r="AO73">
        <f t="shared" si="29"/>
        <v>0</v>
      </c>
    </row>
    <row r="74" spans="4:41" ht="16.5">
      <c r="D74" s="1">
        <f t="shared" si="24"/>
        <v>0</v>
      </c>
      <c r="F74" s="2">
        <f t="shared" si="25"/>
        <v>0</v>
      </c>
      <c r="I74" s="5">
        <f t="shared" si="26"/>
        <v>0</v>
      </c>
      <c r="J74" s="1"/>
      <c r="M74" s="5">
        <f t="shared" si="27"/>
        <v>0</v>
      </c>
      <c r="Q74" s="5">
        <f t="shared" si="28"/>
        <v>0</v>
      </c>
      <c r="V74" s="17"/>
      <c r="AO74">
        <f t="shared" si="29"/>
        <v>0</v>
      </c>
    </row>
    <row r="75" spans="4:41">
      <c r="V75" s="17"/>
      <c r="AO75">
        <f t="shared" si="29"/>
        <v>0</v>
      </c>
    </row>
    <row r="76" spans="4:41">
      <c r="V76" s="17"/>
    </row>
    <row r="77" spans="4:41">
      <c r="V77" s="17"/>
    </row>
    <row r="78" spans="4:41">
      <c r="V78" s="17"/>
    </row>
    <row r="79" spans="4:41">
      <c r="V79" s="17"/>
    </row>
    <row r="80" spans="4:41">
      <c r="V80" s="17"/>
    </row>
    <row r="81" spans="22:22">
      <c r="V81" s="17"/>
    </row>
    <row r="82" spans="22:22">
      <c r="V82" s="17"/>
    </row>
    <row r="83" spans="22:22">
      <c r="V83" s="17"/>
    </row>
    <row r="84" spans="22:22">
      <c r="V84" s="17"/>
    </row>
    <row r="85" spans="22:22">
      <c r="V85" s="17"/>
    </row>
    <row r="86" spans="22:22">
      <c r="V86" s="17"/>
    </row>
    <row r="87" spans="22:22">
      <c r="V87" s="17"/>
    </row>
    <row r="88" spans="22:22">
      <c r="V88" s="17"/>
    </row>
    <row r="89" spans="22:22">
      <c r="V89" s="17"/>
    </row>
    <row r="90" spans="22:22">
      <c r="V90" s="17"/>
    </row>
    <row r="91" spans="22:22">
      <c r="V91" s="17"/>
    </row>
    <row r="92" spans="22:22">
      <c r="V92" s="17"/>
    </row>
    <row r="93" spans="22:22">
      <c r="V93" s="17"/>
    </row>
    <row r="94" spans="22:22">
      <c r="V94" s="17"/>
    </row>
    <row r="95" spans="22:22">
      <c r="V95" s="17"/>
    </row>
    <row r="96" spans="22:22">
      <c r="V96" s="17"/>
    </row>
    <row r="97" spans="22:22">
      <c r="V97" s="17"/>
    </row>
    <row r="98" spans="22:22">
      <c r="V98" s="17"/>
    </row>
    <row r="99" spans="22:22">
      <c r="V99" s="17"/>
    </row>
    <row r="100" spans="22:22">
      <c r="V100" s="17"/>
    </row>
    <row r="101" spans="22:22">
      <c r="V101" s="17"/>
    </row>
    <row r="102" spans="22:22">
      <c r="V102" s="17"/>
    </row>
    <row r="103" spans="22:22">
      <c r="V103" s="17"/>
    </row>
    <row r="104" spans="22:22">
      <c r="V104" s="17"/>
    </row>
    <row r="105" spans="22:22">
      <c r="V105" s="17"/>
    </row>
    <row r="106" spans="22:22">
      <c r="V106" s="17"/>
    </row>
    <row r="107" spans="22:22">
      <c r="V107" s="17"/>
    </row>
    <row r="108" spans="22:22">
      <c r="V108" s="17"/>
    </row>
    <row r="109" spans="22:22">
      <c r="V109" s="17"/>
    </row>
    <row r="110" spans="22:22">
      <c r="V110" s="17"/>
    </row>
    <row r="111" spans="22:22">
      <c r="V111" s="17"/>
    </row>
    <row r="112" spans="22:22">
      <c r="V112" s="17"/>
    </row>
    <row r="113" spans="22:22">
      <c r="V113" s="17"/>
    </row>
    <row r="114" spans="22:22">
      <c r="V114" s="17"/>
    </row>
    <row r="115" spans="22:22">
      <c r="V115" s="17"/>
    </row>
    <row r="116" spans="22:22">
      <c r="V116" s="17"/>
    </row>
    <row r="117" spans="22:22">
      <c r="V117" s="17"/>
    </row>
    <row r="118" spans="22:22">
      <c r="V118" s="17"/>
    </row>
    <row r="119" spans="22:22">
      <c r="V119" s="17"/>
    </row>
    <row r="120" spans="22:22">
      <c r="V120" s="17"/>
    </row>
    <row r="121" spans="22:22">
      <c r="V121" s="17"/>
    </row>
    <row r="122" spans="22:22">
      <c r="V122" s="17"/>
    </row>
    <row r="123" spans="22:22">
      <c r="V123" s="17"/>
    </row>
    <row r="124" spans="22:22">
      <c r="V124" s="17"/>
    </row>
    <row r="125" spans="22:22">
      <c r="V125" s="17"/>
    </row>
    <row r="126" spans="22:22">
      <c r="V126" s="17"/>
    </row>
    <row r="127" spans="22:22">
      <c r="V127" s="17"/>
    </row>
    <row r="128" spans="22:22">
      <c r="V128" s="17"/>
    </row>
    <row r="129" spans="22:22">
      <c r="V129" s="17"/>
    </row>
    <row r="130" spans="22:22">
      <c r="V130" s="17"/>
    </row>
    <row r="131" spans="22:22">
      <c r="V131" s="17"/>
    </row>
    <row r="132" spans="22:22">
      <c r="V132" s="17"/>
    </row>
    <row r="133" spans="22:22">
      <c r="V133" s="17"/>
    </row>
    <row r="134" spans="22:22">
      <c r="V134" s="17"/>
    </row>
    <row r="135" spans="22:22">
      <c r="V135" s="17"/>
    </row>
    <row r="136" spans="22:22">
      <c r="V136" s="17"/>
    </row>
    <row r="137" spans="22:22">
      <c r="V137" s="17"/>
    </row>
    <row r="138" spans="22:22">
      <c r="V138" s="17"/>
    </row>
    <row r="139" spans="22:22">
      <c r="V139" s="17"/>
    </row>
    <row r="140" spans="22:22">
      <c r="V140" s="17"/>
    </row>
    <row r="141" spans="22:22">
      <c r="V141" s="17"/>
    </row>
    <row r="142" spans="22:22">
      <c r="V142" s="17"/>
    </row>
    <row r="143" spans="22:22">
      <c r="V143" s="17"/>
    </row>
    <row r="144" spans="22:22">
      <c r="V144" s="17"/>
    </row>
    <row r="145" spans="22:22">
      <c r="V145" s="17"/>
    </row>
    <row r="146" spans="22:22">
      <c r="V146" s="17"/>
    </row>
    <row r="147" spans="22:22">
      <c r="V147" s="17"/>
    </row>
    <row r="148" spans="22:22">
      <c r="V148" s="17"/>
    </row>
    <row r="149" spans="22:22">
      <c r="V149" s="17"/>
    </row>
    <row r="150" spans="22:22">
      <c r="V150" s="17"/>
    </row>
    <row r="151" spans="22:22">
      <c r="V151" s="17"/>
    </row>
    <row r="152" spans="22:22">
      <c r="V152" s="17"/>
    </row>
    <row r="153" spans="22:22">
      <c r="V153" s="17"/>
    </row>
    <row r="154" spans="22:22">
      <c r="V154" s="17"/>
    </row>
    <row r="155" spans="22:22">
      <c r="V155" s="17"/>
    </row>
    <row r="156" spans="22:22">
      <c r="V156" s="17"/>
    </row>
    <row r="157" spans="22:22">
      <c r="V157" s="17"/>
    </row>
    <row r="158" spans="22:22">
      <c r="V158" s="17"/>
    </row>
    <row r="159" spans="22:22">
      <c r="V159" s="17"/>
    </row>
    <row r="160" spans="22:22">
      <c r="V160" s="17"/>
    </row>
    <row r="161" spans="22:22">
      <c r="V161" s="17"/>
    </row>
    <row r="162" spans="22:22">
      <c r="V162" s="17"/>
    </row>
    <row r="163" spans="22:22">
      <c r="V163" s="17"/>
    </row>
    <row r="164" spans="22:22">
      <c r="V164" s="17"/>
    </row>
    <row r="165" spans="22:22">
      <c r="V165" s="17"/>
    </row>
    <row r="166" spans="22:22">
      <c r="V166" s="17"/>
    </row>
    <row r="167" spans="22:22">
      <c r="V167" s="17"/>
    </row>
    <row r="168" spans="22:22">
      <c r="V168" s="17"/>
    </row>
    <row r="169" spans="22:22">
      <c r="V169" s="17"/>
    </row>
    <row r="170" spans="22:22">
      <c r="V170" s="17"/>
    </row>
    <row r="171" spans="22:22">
      <c r="V171" s="17"/>
    </row>
    <row r="172" spans="22:22">
      <c r="V172" s="17"/>
    </row>
    <row r="173" spans="22:22">
      <c r="V173" s="17"/>
    </row>
    <row r="174" spans="22:22">
      <c r="V174" s="17"/>
    </row>
    <row r="175" spans="22:22">
      <c r="V175" s="17"/>
    </row>
    <row r="176" spans="22:22">
      <c r="V176" s="17"/>
    </row>
    <row r="177" spans="22:22">
      <c r="V177" s="17"/>
    </row>
    <row r="178" spans="22:22">
      <c r="V178" s="17"/>
    </row>
    <row r="179" spans="22:22">
      <c r="V179" s="17"/>
    </row>
    <row r="180" spans="22:22">
      <c r="V180" s="17"/>
    </row>
    <row r="181" spans="22:22">
      <c r="V181" s="17"/>
    </row>
    <row r="182" spans="22:22">
      <c r="V182" s="17"/>
    </row>
    <row r="183" spans="22:22">
      <c r="V183" s="17"/>
    </row>
    <row r="184" spans="22:22">
      <c r="V184" s="17"/>
    </row>
    <row r="185" spans="22:22">
      <c r="V185" s="17"/>
    </row>
    <row r="186" spans="22:22">
      <c r="V186" s="17"/>
    </row>
    <row r="187" spans="22:22">
      <c r="V187" s="17"/>
    </row>
    <row r="188" spans="22:22">
      <c r="V188" s="17"/>
    </row>
    <row r="189" spans="22:22">
      <c r="V189" s="17"/>
    </row>
    <row r="190" spans="22:22">
      <c r="V190" s="17"/>
    </row>
    <row r="191" spans="22:22">
      <c r="V191" s="17"/>
    </row>
    <row r="192" spans="22:22">
      <c r="V192" s="17"/>
    </row>
    <row r="193" spans="22:22">
      <c r="V193" s="17"/>
    </row>
    <row r="194" spans="22:22">
      <c r="V194" s="17"/>
    </row>
    <row r="195" spans="22:22">
      <c r="V195" s="17"/>
    </row>
    <row r="196" spans="22:22">
      <c r="V196" s="17"/>
    </row>
    <row r="197" spans="22:22">
      <c r="V197" s="17"/>
    </row>
    <row r="198" spans="22:22">
      <c r="V198" s="17"/>
    </row>
    <row r="199" spans="22:22">
      <c r="V199" s="17"/>
    </row>
    <row r="200" spans="22:22">
      <c r="V200" s="17"/>
    </row>
  </sheetData>
  <phoneticPr fontId="5" type="noConversion"/>
  <conditionalFormatting sqref="C2:C7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{1D882643-9CBB-4326-8EDA-195C291C6C2E}</x14:id>
        </ext>
      </extLst>
    </cfRule>
  </conditionalFormatting>
  <conditionalFormatting sqref="E1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{FA051867-0142-4C8B-AF15-7BF72DAE41D0}</x14:id>
        </ext>
      </extLst>
    </cfRule>
  </conditionalFormatting>
  <conditionalFormatting sqref="E2:E8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{62ACE194-74A1-4732-909B-4FABB8E6FD07}</x14:id>
        </ext>
      </extLst>
    </cfRule>
  </conditionalFormatting>
  <conditionalFormatting sqref="E2:E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{A802469A-7960-4DED-8ADD-9D61EA985187}</x14:id>
        </ext>
      </extLst>
    </cfRule>
  </conditionalFormatting>
  <conditionalFormatting sqref="E9">
    <cfRule type="dataBar" priority="1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{44CAAA5B-61A9-47C1-9BEB-0ED9495B6788}</x14:id>
        </ext>
      </extLst>
    </cfRule>
  </conditionalFormatting>
  <conditionalFormatting sqref="E10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{7633632E-21DD-4B2D-8A5B-FC193F5ABF71}</x14:id>
        </ext>
      </extLst>
    </cfRule>
  </conditionalFormatting>
  <conditionalFormatting sqref="E11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{961BD87C-AC31-40F4-BDE5-D4BB5A2B1C85}</x14:id>
        </ext>
      </extLst>
    </cfRule>
  </conditionalFormatting>
  <conditionalFormatting sqref="E12:E14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{1DED1861-931F-424F-93A8-1EAFE51466C7}</x14:id>
        </ext>
      </extLst>
    </cfRule>
  </conditionalFormatting>
  <conditionalFormatting sqref="E15:E17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{4C3914EA-5C77-422D-9824-A794A11B9038}</x14:id>
        </ext>
      </extLst>
    </cfRule>
  </conditionalFormatting>
  <conditionalFormatting sqref="E18:E20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{23CB8CAF-C1DA-47E5-8359-7C1CD76EED92}</x14:id>
        </ext>
      </extLst>
    </cfRule>
  </conditionalFormatting>
  <conditionalFormatting sqref="E21:E23"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{BC07F391-0D42-4914-B957-B6B263C2F2F2}</x14:id>
        </ext>
      </extLst>
    </cfRule>
  </conditionalFormatting>
  <conditionalFormatting sqref="E24:E26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{DDE4F8AD-3D3A-472F-A971-2896915249D0}</x14:id>
        </ext>
      </extLst>
    </cfRule>
  </conditionalFormatting>
  <conditionalFormatting sqref="E27:E29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{40B8BA00-9A8C-495B-8538-DA789EEF45B0}</x14:id>
        </ext>
      </extLst>
    </cfRule>
  </conditionalFormatting>
  <conditionalFormatting sqref="E30:E32">
    <cfRule type="dataBar" priority="1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{3A57CE91-72C0-4D03-8C5B-258E874AD553}</x14:id>
        </ext>
      </extLst>
    </cfRule>
  </conditionalFormatting>
  <conditionalFormatting sqref="E33:E35">
    <cfRule type="dataBar" priority="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{2DEB401A-1C2A-410A-B7A6-AB1B447ECDAF}</x14:id>
        </ext>
      </extLst>
    </cfRule>
  </conditionalFormatting>
  <conditionalFormatting sqref="E36:E38"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{FE609119-0D70-43AA-A1FA-3E4540A493F4}</x14:id>
        </ext>
      </extLst>
    </cfRule>
  </conditionalFormatting>
  <conditionalFormatting sqref="E39:E41">
    <cfRule type="dataBar" priority="1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{947C6F20-71FF-4E91-97E7-C021A505C799}</x14:id>
        </ext>
      </extLst>
    </cfRule>
  </conditionalFormatting>
  <conditionalFormatting sqref="E42:E44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{D159E5EE-887C-4165-B9F4-19D05DA2E42E}</x14:id>
        </ext>
      </extLst>
    </cfRule>
  </conditionalFormatting>
  <conditionalFormatting sqref="E45:E47">
    <cfRule type="dataBar" priority="1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{671C4686-B505-4621-BF24-4E472C710184}</x14:id>
        </ext>
      </extLst>
    </cfRule>
  </conditionalFormatting>
  <conditionalFormatting sqref="E48:E50">
    <cfRule type="dataBar" priority="1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{665E46B2-F05F-457C-B9AF-379911DED047}</x14:id>
        </ext>
      </extLst>
    </cfRule>
  </conditionalFormatting>
  <conditionalFormatting sqref="E51:E53"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{DC24BD0F-BB3E-4224-B44C-7098DA251278}</x14:id>
        </ext>
      </extLst>
    </cfRule>
  </conditionalFormatting>
  <conditionalFormatting sqref="E54:E56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{BE6A8464-0B26-49E6-A31B-93F57CC9BFD6}</x14:id>
        </ext>
      </extLst>
    </cfRule>
  </conditionalFormatting>
  <conditionalFormatting sqref="E57:E59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{136D53B6-5367-4A13-B5B3-4E8796F822F4}</x14:id>
        </ext>
      </extLst>
    </cfRule>
  </conditionalFormatting>
  <conditionalFormatting sqref="E60:E62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{AB5FBD34-F243-45B9-BFBB-D014CBEE1109}</x14:id>
        </ext>
      </extLst>
    </cfRule>
  </conditionalFormatting>
  <conditionalFormatting sqref="E63:E65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{86DC6264-5F5D-4074-931D-3D0B1707EB3E}</x14:id>
        </ext>
      </extLst>
    </cfRule>
  </conditionalFormatting>
  <conditionalFormatting sqref="E66:E68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{51CABB0D-1968-4D3B-9E97-87855EA68180}</x14:id>
        </ext>
      </extLst>
    </cfRule>
  </conditionalFormatting>
  <conditionalFormatting sqref="E69:E71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{FF9CC619-0EE0-4A92-B981-324FB3332057}</x14:id>
        </ext>
      </extLst>
    </cfRule>
  </conditionalFormatting>
  <conditionalFormatting sqref="E72:E74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{86EA9929-5E76-4BDE-BCAC-0E9689FAEA34}</x14:id>
        </ext>
      </extLst>
    </cfRule>
  </conditionalFormatting>
  <conditionalFormatting sqref="E75:E1048576"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{B76D20C4-8BD2-4623-B4A1-22B5C2FE5D01}</x14:id>
        </ext>
      </extLst>
    </cfRule>
  </conditionalFormatting>
  <conditionalFormatting sqref="H2:H3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{FC496983-AC4D-4570-9D23-5823D1406788}</x14:id>
        </ext>
      </extLst>
    </cfRule>
  </conditionalFormatting>
  <conditionalFormatting sqref="H2:H7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{4DF157C5-3B48-49B3-AD22-EFA4E924C2C1}</x14:id>
        </ext>
      </extLst>
    </cfRule>
  </conditionalFormatting>
  <conditionalFormatting sqref="H3:H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{9EC37D4A-F624-46DE-836A-9B9F1C707CFE}</x14:id>
        </ext>
      </extLst>
    </cfRule>
  </conditionalFormatting>
  <conditionalFormatting sqref="J2:J8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{C6BE27A3-EB61-4D39-B083-591FD9F3D16A}</x14:id>
        </ext>
      </extLst>
    </cfRule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{E77CF3FA-DDCF-4474-A6A4-CC27E60B46D4}</x14:id>
        </ext>
      </extLst>
    </cfRule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{39DF2904-EDD6-4AFC-9E94-F165ED2FAEA3}</x14:id>
        </ext>
      </extLst>
    </cfRule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{59427F9D-F4F5-4524-96DB-253B01D04E73}</x14:id>
        </ext>
      </extLst>
    </cfRule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{80E3C2B1-64C0-4B77-90E5-D2898C2697CB}</x14:id>
        </ext>
      </extLst>
    </cfRule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{10C434A0-F7A3-4FCB-927A-3320F82876AA}</x14:id>
        </ext>
      </extLst>
    </cfRule>
  </conditionalFormatting>
  <conditionalFormatting sqref="J9">
    <cfRule type="dataBar" priority="1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{DCD84A7C-F15F-4AAF-ADD9-E5304BF634CC}</x14:id>
        </ext>
      </extLst>
    </cfRule>
    <cfRule type="dataBar" priority="1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{FCA3DCE5-1236-46CF-8F3D-2B0A46CF03B4}</x14:id>
        </ext>
      </extLst>
    </cfRule>
    <cfRule type="dataBar" priority="13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{C2ABC09B-3D3C-4738-804F-78BE9A39244A}</x14:id>
        </ext>
      </extLst>
    </cfRule>
    <cfRule type="dataBar" priority="13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{37DBFC75-54A0-4544-AC7A-250C5E228467}</x14:id>
        </ext>
      </extLst>
    </cfRule>
    <cfRule type="dataBar" priority="13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{7E685726-BA23-42F6-A327-122A543AA3AB}</x14:id>
        </ext>
      </extLst>
    </cfRule>
    <cfRule type="dataBar" priority="13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{EFECBF22-11A8-40B2-9E0A-7E3689871E88}</x14:id>
        </ext>
      </extLst>
    </cfRule>
  </conditionalFormatting>
  <conditionalFormatting sqref="J10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{59C10860-7E6B-46B4-9640-F894871A78D0}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{E1D7999D-DE86-428B-8483-95D5F96DABCA}</x14:id>
        </ext>
      </extLst>
    </cfRule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{2DCD2013-5C47-4660-B423-C5EEB57F8BC1}</x14:id>
        </ext>
      </extLst>
    </cfRule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{D8CF2146-62D1-4FEE-ABE3-AE2FA9F8396D}</x14:id>
        </ext>
      </extLst>
    </cfRule>
    <cfRule type="dataBar" priority="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{1C51ABD0-0E7D-48F3-99E4-3CCD337CC726}</x14:id>
        </ext>
      </extLst>
    </cfRule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{E2D86256-94EE-4A64-B6B4-285BB81BEC0F}</x14:id>
        </ext>
      </extLst>
    </cfRule>
  </conditionalFormatting>
  <conditionalFormatting sqref="J11:J74">
    <cfRule type="dataBar" priority="1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{15BB7416-EE14-49FB-9698-C99B80A388AE}</x14:id>
        </ext>
      </extLst>
    </cfRule>
    <cfRule type="dataBar" priority="13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{A8F5A817-2584-4F04-90CF-96987B73285B}</x14:id>
        </ext>
      </extLst>
    </cfRule>
    <cfRule type="dataBar" priority="1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{D8FBE549-9D22-44E3-A0ED-5044192147A1}</x14:id>
        </ext>
      </extLst>
    </cfRule>
    <cfRule type="dataBar" priority="1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{F52C4FD5-0372-4881-86FF-8C28D3923787}</x14:id>
        </ext>
      </extLst>
    </cfRule>
    <cfRule type="dataBar" priority="1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{E8A80E2B-50C5-473A-9B5B-E863E330D550}</x14:id>
        </ext>
      </extLst>
    </cfRule>
    <cfRule type="dataBar" priority="1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{4918CB33-56F8-469D-BFDD-A11AA8FA21A7}</x14:id>
        </ext>
      </extLst>
    </cfRule>
  </conditionalFormatting>
  <conditionalFormatting sqref="N2:N8 N11:N17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{07604804-584B-4529-95FF-7B53AADAF808}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{BC047541-15D2-4E2E-8B77-BCD990EAA687}</x14:id>
        </ext>
      </extLst>
    </cfRule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{A32C2605-CC41-4891-A8D8-7878371A4860}</x14:id>
        </ext>
      </extLst>
    </cfRule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{2B94B505-3F0F-4894-BEC8-A0EE8F848A0F}</x14:id>
        </ext>
      </extLst>
    </cfRule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{61C9C6DE-E75F-4D7C-945D-3CDB624A8F19}</x14:id>
        </ext>
      </extLst>
    </cfRule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{534AFF40-C38D-402D-9CDE-98F02889DA74}</x14:id>
        </ext>
      </extLst>
    </cfRule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{566A7267-3093-4104-9D21-97F47730ECCC}</x14:id>
        </ext>
      </extLst>
    </cfRule>
  </conditionalFormatting>
  <conditionalFormatting sqref="N9">
    <cfRule type="dataBar" priority="1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{20FAC094-B11A-4D17-9576-CDC8C7E30B71}</x14:id>
        </ext>
      </extLst>
    </cfRule>
    <cfRule type="dataBar" priority="13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{3E885B8E-04D2-4E75-A78E-1A49EAF6B12A}</x14:id>
        </ext>
      </extLst>
    </cfRule>
    <cfRule type="dataBar" priority="13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{955EA85A-6788-49C1-956F-95DCA739DFF4}</x14:id>
        </ext>
      </extLst>
    </cfRule>
    <cfRule type="dataBar" priority="13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{BB461C10-0580-4F6F-BF1D-F9AA20A5FB39}</x14:id>
        </ext>
      </extLst>
    </cfRule>
    <cfRule type="dataBar" priority="1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{16B6D555-CDBA-46FC-B7B8-BAAC02E6AF57}</x14:id>
        </ext>
      </extLst>
    </cfRule>
    <cfRule type="dataBar" priority="1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{0E7472F9-00B6-44DA-9121-696C2C2962DF}</x14:id>
        </ext>
      </extLst>
    </cfRule>
    <cfRule type="dataBar" priority="1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{40224528-D6D5-4017-ACFD-A17EE12ED5DF}</x14:id>
        </ext>
      </extLst>
    </cfRule>
  </conditionalFormatting>
  <conditionalFormatting sqref="N10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{C04C9CA5-66E0-453C-BC9D-D9A59F9F31C5}</x14:id>
        </ext>
      </extLst>
    </cfRule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{6BB68883-7837-46AB-80DA-4D27971BADD1}</x14:id>
        </ext>
      </extLst>
    </cfRule>
    <cfRule type="dataBar" priority="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{D4C6C1FC-E56B-465F-ACD3-1E23D148D18A}</x14:id>
        </ext>
      </extLst>
    </cfRule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{F826779A-10BF-4DF3-8CC5-635BD6A9B1AE}</x14:id>
        </ext>
      </extLst>
    </cfRule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{A6F562F2-FF79-473A-AA0A-FD8FECE0FC84}</x14:id>
        </ext>
      </extLst>
    </cfRule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{3E823EE8-ECB8-4B1D-A6C7-D18882F86615}</x14:id>
        </ext>
      </extLst>
    </cfRule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{C4638E10-4A9F-47AE-8795-CEE8A95C531B}</x14:id>
        </ext>
      </extLst>
    </cfRule>
  </conditionalFormatting>
  <conditionalFormatting sqref="R2:R8 R11:R17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{FF005072-809C-484E-920F-BD2127829AAA}</x14:id>
        </ext>
      </extLst>
    </cfRule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{DA05D621-1FA9-4471-BE90-299A6D16D3B1}</x14:id>
        </ext>
      </extLst>
    </cfRule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{BC576F2A-1CD6-4FFB-BEEB-78772AC639B2}</x14:id>
        </ext>
      </extLst>
    </cfRule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{A27743AA-6C1B-498B-A7E6-FED81570EC33}</x14:id>
        </ext>
      </extLst>
    </cfRule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{2AFEBD34-4460-41AF-97E3-2ED1F0FCB583}</x14:id>
        </ext>
      </extLst>
    </cfRule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{8D40747D-144C-4C06-8B98-C8A7552E2A56}</x14:id>
        </ext>
      </extLst>
    </cfRule>
  </conditionalFormatting>
  <conditionalFormatting sqref="R9">
    <cfRule type="dataBar" priority="13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{5B3E065A-0CDF-4351-A020-F28C974748CA}</x14:id>
        </ext>
      </extLst>
    </cfRule>
    <cfRule type="dataBar" priority="13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{B4BB441C-27ED-48DB-8E38-F03DAB25CE5D}</x14:id>
        </ext>
      </extLst>
    </cfRule>
    <cfRule type="dataBar" priority="13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{12D226CF-DBB9-4E7B-9C78-CC7B3783E8DF}</x14:id>
        </ext>
      </extLst>
    </cfRule>
    <cfRule type="dataBar" priority="1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{2B30EA9C-1996-48BC-91BD-EF9BE1C3678E}</x14:id>
        </ext>
      </extLst>
    </cfRule>
    <cfRule type="dataBar" priority="13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{9C84ED0E-6E7F-49C9-B151-945F9E087949}</x14:id>
        </ext>
      </extLst>
    </cfRule>
    <cfRule type="dataBar" priority="1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{F9BFE196-6726-4E92-8AAB-A9A92C226F3A}</x14:id>
        </ext>
      </extLst>
    </cfRule>
  </conditionalFormatting>
  <conditionalFormatting sqref="R10">
    <cfRule type="dataBar" priority="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{DBC7D0F8-9259-4B33-BE7C-B90990827D14}</x14:id>
        </ext>
      </extLst>
    </cfRule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{3C0B1B43-791C-48CC-9CAC-2DA6D02107FA}</x14:id>
        </ext>
      </extLst>
    </cfRule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{A8FDA23A-E0E7-44B0-A564-8F553341504E}</x14:id>
        </ext>
      </extLst>
    </cfRule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{949E25C3-5515-4755-9E6B-0D869469FFCB}</x14:id>
        </ext>
      </extLst>
    </cfRule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{AED5726C-BB8C-41F4-9344-7CB53E05C9EF}</x14:id>
        </ext>
      </extLst>
    </cfRule>
    <cfRule type="dataBar" priority="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{1B6EB588-1F21-479F-B854-17EDEC6F9BA7}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882643-9CBB-4326-8EDA-195C291C6C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C2:C73</xm:sqref>
        </x14:conditionalFormatting>
        <x14:conditionalFormatting xmlns:xm="http://schemas.microsoft.com/office/excel/2006/main">
          <x14:cfRule type="dataBar" id="{FA051867-0142-4C8B-AF15-7BF72DAE41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</xm:sqref>
        </x14:conditionalFormatting>
        <x14:conditionalFormatting xmlns:xm="http://schemas.microsoft.com/office/excel/2006/main">
          <x14:cfRule type="dataBar" id="{62ACE194-74A1-4732-909B-4FABB8E6FD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E2:E8</xm:sqref>
        </x14:conditionalFormatting>
        <x14:conditionalFormatting xmlns:xm="http://schemas.microsoft.com/office/excel/2006/main">
          <x14:cfRule type="dataBar" id="{A802469A-7960-4DED-8ADD-9D61EA9851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E2:E25</xm:sqref>
        </x14:conditionalFormatting>
        <x14:conditionalFormatting xmlns:xm="http://schemas.microsoft.com/office/excel/2006/main">
          <x14:cfRule type="dataBar" id="{44CAAA5B-61A9-47C1-9BEB-0ED9495B67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E9</xm:sqref>
        </x14:conditionalFormatting>
        <x14:conditionalFormatting xmlns:xm="http://schemas.microsoft.com/office/excel/2006/main">
          <x14:cfRule type="dataBar" id="{7633632E-21DD-4B2D-8A5B-FC193F5ABF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E10</xm:sqref>
        </x14:conditionalFormatting>
        <x14:conditionalFormatting xmlns:xm="http://schemas.microsoft.com/office/excel/2006/main">
          <x14:cfRule type="dataBar" id="{961BD87C-AC31-40F4-BDE5-D4BB5A2B1C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1DED1861-931F-424F-93A8-1EAFE51466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E12:E14</xm:sqref>
        </x14:conditionalFormatting>
        <x14:conditionalFormatting xmlns:xm="http://schemas.microsoft.com/office/excel/2006/main">
          <x14:cfRule type="dataBar" id="{4C3914EA-5C77-422D-9824-A794A11B90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E15:E17</xm:sqref>
        </x14:conditionalFormatting>
        <x14:conditionalFormatting xmlns:xm="http://schemas.microsoft.com/office/excel/2006/main">
          <x14:cfRule type="dataBar" id="{23CB8CAF-C1DA-47E5-8359-7C1CD76EED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E18:E20</xm:sqref>
        </x14:conditionalFormatting>
        <x14:conditionalFormatting xmlns:xm="http://schemas.microsoft.com/office/excel/2006/main">
          <x14:cfRule type="dataBar" id="{BC07F391-0D42-4914-B957-B6B263C2F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E21:E23</xm:sqref>
        </x14:conditionalFormatting>
        <x14:conditionalFormatting xmlns:xm="http://schemas.microsoft.com/office/excel/2006/main">
          <x14:cfRule type="dataBar" id="{DDE4F8AD-3D3A-472F-A971-2896915249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E24:E26</xm:sqref>
        </x14:conditionalFormatting>
        <x14:conditionalFormatting xmlns:xm="http://schemas.microsoft.com/office/excel/2006/main">
          <x14:cfRule type="dataBar" id="{40B8BA00-9A8C-495B-8538-DA789EEF4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E27:E29</xm:sqref>
        </x14:conditionalFormatting>
        <x14:conditionalFormatting xmlns:xm="http://schemas.microsoft.com/office/excel/2006/main">
          <x14:cfRule type="dataBar" id="{3A57CE91-72C0-4D03-8C5B-258E874AD5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E30:E32</xm:sqref>
        </x14:conditionalFormatting>
        <x14:conditionalFormatting xmlns:xm="http://schemas.microsoft.com/office/excel/2006/main">
          <x14:cfRule type="dataBar" id="{2DEB401A-1C2A-410A-B7A6-AB1B447ECD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E33:E35</xm:sqref>
        </x14:conditionalFormatting>
        <x14:conditionalFormatting xmlns:xm="http://schemas.microsoft.com/office/excel/2006/main">
          <x14:cfRule type="dataBar" id="{FE609119-0D70-43AA-A1FA-3E4540A493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E36:E38</xm:sqref>
        </x14:conditionalFormatting>
        <x14:conditionalFormatting xmlns:xm="http://schemas.microsoft.com/office/excel/2006/main">
          <x14:cfRule type="dataBar" id="{947C6F20-71FF-4E91-97E7-C021A505C7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E39:E41</xm:sqref>
        </x14:conditionalFormatting>
        <x14:conditionalFormatting xmlns:xm="http://schemas.microsoft.com/office/excel/2006/main">
          <x14:cfRule type="dataBar" id="{D159E5EE-887C-4165-B9F4-19D05DA2E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E42:E44</xm:sqref>
        </x14:conditionalFormatting>
        <x14:conditionalFormatting xmlns:xm="http://schemas.microsoft.com/office/excel/2006/main">
          <x14:cfRule type="dataBar" id="{671C4686-B505-4621-BF24-4E472C710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E45:E47</xm:sqref>
        </x14:conditionalFormatting>
        <x14:conditionalFormatting xmlns:xm="http://schemas.microsoft.com/office/excel/2006/main">
          <x14:cfRule type="dataBar" id="{665E46B2-F05F-457C-B9AF-379911DED0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E48:E50</xm:sqref>
        </x14:conditionalFormatting>
        <x14:conditionalFormatting xmlns:xm="http://schemas.microsoft.com/office/excel/2006/main">
          <x14:cfRule type="dataBar" id="{DC24BD0F-BB3E-4224-B44C-7098DA2512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E51:E53</xm:sqref>
        </x14:conditionalFormatting>
        <x14:conditionalFormatting xmlns:xm="http://schemas.microsoft.com/office/excel/2006/main">
          <x14:cfRule type="dataBar" id="{BE6A8464-0B26-49E6-A31B-93F57CC9BF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E54:E56</xm:sqref>
        </x14:conditionalFormatting>
        <x14:conditionalFormatting xmlns:xm="http://schemas.microsoft.com/office/excel/2006/main">
          <x14:cfRule type="dataBar" id="{136D53B6-5367-4A13-B5B3-4E8796F82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E57:E59</xm:sqref>
        </x14:conditionalFormatting>
        <x14:conditionalFormatting xmlns:xm="http://schemas.microsoft.com/office/excel/2006/main">
          <x14:cfRule type="dataBar" id="{AB5FBD34-F243-45B9-BFBB-D014CBEE11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E60:E62</xm:sqref>
        </x14:conditionalFormatting>
        <x14:conditionalFormatting xmlns:xm="http://schemas.microsoft.com/office/excel/2006/main">
          <x14:cfRule type="dataBar" id="{86DC6264-5F5D-4074-931D-3D0B1707EB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E63:E65</xm:sqref>
        </x14:conditionalFormatting>
        <x14:conditionalFormatting xmlns:xm="http://schemas.microsoft.com/office/excel/2006/main">
          <x14:cfRule type="dataBar" id="{51CABB0D-1968-4D3B-9E97-87855EA681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E66:E68</xm:sqref>
        </x14:conditionalFormatting>
        <x14:conditionalFormatting xmlns:xm="http://schemas.microsoft.com/office/excel/2006/main">
          <x14:cfRule type="dataBar" id="{FF9CC619-0EE0-4A92-B981-324FB3332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E69:E71</xm:sqref>
        </x14:conditionalFormatting>
        <x14:conditionalFormatting xmlns:xm="http://schemas.microsoft.com/office/excel/2006/main">
          <x14:cfRule type="dataBar" id="{86EA9929-5E76-4BDE-BCAC-0E9689FAEA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E72:E74</xm:sqref>
        </x14:conditionalFormatting>
        <x14:conditionalFormatting xmlns:xm="http://schemas.microsoft.com/office/excel/2006/main">
          <x14:cfRule type="dataBar" id="{B76D20C4-8BD2-4623-B4A1-22B5C2FE5D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E75:E1048576</xm:sqref>
        </x14:conditionalFormatting>
        <x14:conditionalFormatting xmlns:xm="http://schemas.microsoft.com/office/excel/2006/main">
          <x14:cfRule type="dataBar" id="{FC496983-AC4D-4570-9D23-5823D14067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H2:H33</xm:sqref>
        </x14:conditionalFormatting>
        <x14:conditionalFormatting xmlns:xm="http://schemas.microsoft.com/office/excel/2006/main">
          <x14:cfRule type="dataBar" id="{4DF157C5-3B48-49B3-AD22-EFA4E924C2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H2:H74</xm:sqref>
        </x14:conditionalFormatting>
        <x14:conditionalFormatting xmlns:xm="http://schemas.microsoft.com/office/excel/2006/main">
          <x14:cfRule type="dataBar" id="{9EC37D4A-F624-46DE-836A-9B9F1C707C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H3:H26</xm:sqref>
        </x14:conditionalFormatting>
        <x14:conditionalFormatting xmlns:xm="http://schemas.microsoft.com/office/excel/2006/main">
          <x14:cfRule type="dataBar" id="{C6BE27A3-EB61-4D39-B083-591FD9F3D1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77CF3FA-DDCF-4474-A6A4-CC27E60B46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9DF2904-EDD6-4AFC-9E94-F165ED2FAEA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9427F9D-F4F5-4524-96DB-253B01D04E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0E3C2B1-64C0-4B77-90E5-D2898C2697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C434A0-F7A3-4FCB-927A-3320F82876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J2:J8</xm:sqref>
        </x14:conditionalFormatting>
        <x14:conditionalFormatting xmlns:xm="http://schemas.microsoft.com/office/excel/2006/main">
          <x14:cfRule type="dataBar" id="{DCD84A7C-F15F-4AAF-ADD9-E5304BF634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CA3DCE5-1236-46CF-8F3D-2B0A46CF03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2ABC09B-3D3C-4738-804F-78BE9A3924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7DBFC75-54A0-4544-AC7A-250C5E2284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685726-BA23-42F6-A327-122A543AA3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FECBF22-11A8-40B2-9E0A-7E3689871E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59C10860-7E6B-46B4-9640-F894871A78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1D7999D-DE86-428B-8483-95D5F96DAB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DCD2013-5C47-4660-B423-C5EEB57F8B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CF2146-62D1-4FEE-ABE3-AE2FA9F839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C51ABD0-0E7D-48F3-99E4-3CCD337CC7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D86256-94EE-4A64-B6B4-285BB81BEC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15BB7416-EE14-49FB-9698-C99B80A388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F5A817-2584-4F04-90CF-96987B7328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8FBE549-9D22-44E3-A0ED-5044192147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52C4FD5-0372-4881-86FF-8C28D39237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8A80E2B-50C5-473A-9B5B-E863E330D5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918CB33-56F8-469D-BFDD-A11AA8FA21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J11:J74</xm:sqref>
        </x14:conditionalFormatting>
        <x14:conditionalFormatting xmlns:xm="http://schemas.microsoft.com/office/excel/2006/main">
          <x14:cfRule type="dataBar" id="{07604804-584B-4529-95FF-7B53AADAF8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047541-15D2-4E2E-8B77-BCD990EAA68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32C2605-CC41-4891-A8D8-7878371A48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94B505-3F0F-4894-BEC8-A0EE8F848A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1C9C6DE-E75F-4D7C-945D-3CDB624A8F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34AFF40-C38D-402D-9CDE-98F02889DA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66A7267-3093-4104-9D21-97F47730EC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N2:N8 N11:N17</xm:sqref>
        </x14:conditionalFormatting>
        <x14:conditionalFormatting xmlns:xm="http://schemas.microsoft.com/office/excel/2006/main">
          <x14:cfRule type="dataBar" id="{20FAC094-B11A-4D17-9576-CDC8C7E30B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E885B8E-04D2-4E75-A78E-1A49EAF6B1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55EA85A-6788-49C1-956F-95DCA739DF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B461C10-0580-4F6F-BF1D-F9AA20A5FB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6B6D555-CDBA-46FC-B7B8-BAAC02E6AF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E7472F9-00B6-44DA-9121-696C2C2962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0224528-D6D5-4017-ACFD-A17EE12ED5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N9</xm:sqref>
        </x14:conditionalFormatting>
        <x14:conditionalFormatting xmlns:xm="http://schemas.microsoft.com/office/excel/2006/main">
          <x14:cfRule type="dataBar" id="{C04C9CA5-66E0-453C-BC9D-D9A59F9F31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BB68883-7837-46AB-80DA-4D27971BA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4C6C1FC-E56B-465F-ACD3-1E23D148D1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826779A-10BF-4DF3-8CC5-635BD6A9B1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6F562F2-FF79-473A-AA0A-FD8FECE0F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E823EE8-ECB8-4B1D-A6C7-D18882F866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C4638E10-4A9F-47AE-8795-CEE8A95C53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N10</xm:sqref>
        </x14:conditionalFormatting>
        <x14:conditionalFormatting xmlns:xm="http://schemas.microsoft.com/office/excel/2006/main">
          <x14:cfRule type="dataBar" id="{FF005072-809C-484E-920F-BD2127829A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A05D621-1FA9-4471-BE90-299A6D16D3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C576F2A-1CD6-4FFB-BEEB-78772AC639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27743AA-6C1B-498B-A7E6-FED81570EC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AFEBD34-4460-41AF-97E3-2ED1F0FCB5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40747D-144C-4C06-8B98-C8A7552E2A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R2:R8 R11:R17</xm:sqref>
        </x14:conditionalFormatting>
        <x14:conditionalFormatting xmlns:xm="http://schemas.microsoft.com/office/excel/2006/main">
          <x14:cfRule type="dataBar" id="{5B3E065A-0CDF-4351-A020-F28C974748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4BB441C-27ED-48DB-8E38-F03DAB25CE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2D226CF-DBB9-4E7B-9C78-CC7B3783E8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B30EA9C-1996-48BC-91BD-EF9BE1C367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C84ED0E-6E7F-49C9-B151-945F9E0879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9BFE196-6726-4E92-8AAB-A9A92C226F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BC7D0F8-9259-4B33-BE7C-B90990827D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C0B1B43-791C-48CC-9CAC-2DA6D02107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8FDA23A-E0E7-44B0-A564-8F55334150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949E25C3-5515-4755-9E6B-0D869469FF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ED5726C-BB8C-41F4-9344-7CB53E05C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B6EB588-1F21-479F-B854-17EDEC6F9B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2025年10-12月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fanshenghua</dc:creator>
  <cp:lastModifiedBy>盛华 樊</cp:lastModifiedBy>
  <dcterms:created xsi:type="dcterms:W3CDTF">2015-06-05T18:19:00Z</dcterms:created>
  <dcterms:modified xsi:type="dcterms:W3CDTF">2025-10-21T12:14:40Z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F11C2460CEC34E80B767AB4C47AB34DE_13</vt:lpwstr>
  </property>
  <property fmtid="{D5CDD505-2E9C-101B-9397-08002B2CF9AE}" pid="3" name="KSOProductBuildVer">
    <vt:lpwstr>2052-12.1.0.16120</vt:lpwstr>
  </property>
</Properties>
</file>